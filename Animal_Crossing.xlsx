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nat\Desktop\"/>
    </mc:Choice>
  </mc:AlternateContent>
  <xr:revisionPtr revIDLastSave="0" documentId="8_{EB03FC02-0E4E-4190-B034-FEB9FBA98F95}" xr6:coauthVersionLast="47" xr6:coauthVersionMax="47" xr10:uidLastSave="{00000000-0000-0000-0000-000000000000}"/>
  <bookViews>
    <workbookView xWindow="57480" yWindow="-120" windowWidth="38640" windowHeight="21120" xr2:uid="{81F7653E-B260-4F12-A6A4-02B7EBDC7DCD}"/>
  </bookViews>
  <sheets>
    <sheet name="Turnip" sheetId="4" r:id="rId1"/>
    <sheet name="Deep_Sea_Creature" sheetId="8" r:id="rId2"/>
    <sheet name="Sum_Together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9" l="1"/>
  <c r="C12" i="9"/>
  <c r="C11" i="9"/>
  <c r="C10" i="9"/>
  <c r="C9" i="9"/>
  <c r="C8" i="9"/>
  <c r="C7" i="9"/>
  <c r="C6" i="9"/>
  <c r="C5" i="9"/>
  <c r="C4" i="9"/>
  <c r="C3" i="9"/>
  <c r="C2" i="9"/>
  <c r="B13" i="9"/>
  <c r="D13" i="9" s="1"/>
  <c r="B12" i="9"/>
  <c r="B11" i="9"/>
  <c r="B10" i="9"/>
  <c r="B9" i="9"/>
  <c r="B8" i="9"/>
  <c r="B7" i="9"/>
  <c r="B6" i="9"/>
  <c r="D6" i="9" s="1"/>
  <c r="B5" i="9"/>
  <c r="B4" i="9"/>
  <c r="B3" i="9"/>
  <c r="B2" i="9"/>
  <c r="V12" i="8"/>
  <c r="V9" i="8"/>
  <c r="V8" i="8"/>
  <c r="V7" i="8"/>
  <c r="V4" i="8"/>
  <c r="U81" i="8"/>
  <c r="U80" i="8"/>
  <c r="U79" i="8"/>
  <c r="U78" i="8"/>
  <c r="U77" i="8"/>
  <c r="U76" i="8"/>
  <c r="U75" i="8"/>
  <c r="U74" i="8"/>
  <c r="U73" i="8"/>
  <c r="U72" i="8"/>
  <c r="U71" i="8"/>
  <c r="U70" i="8"/>
  <c r="U69" i="8"/>
  <c r="U68" i="8"/>
  <c r="U67" i="8"/>
  <c r="U66" i="8"/>
  <c r="U65" i="8"/>
  <c r="U64" i="8"/>
  <c r="U63" i="8"/>
  <c r="U62" i="8"/>
  <c r="U61" i="8"/>
  <c r="U60" i="8"/>
  <c r="U59" i="8"/>
  <c r="U58" i="8"/>
  <c r="U57" i="8"/>
  <c r="U56" i="8"/>
  <c r="U55" i="8"/>
  <c r="U54" i="8"/>
  <c r="U53" i="8"/>
  <c r="U52" i="8"/>
  <c r="U51" i="8"/>
  <c r="U50" i="8"/>
  <c r="U49" i="8"/>
  <c r="U48" i="8"/>
  <c r="U47" i="8"/>
  <c r="U46" i="8"/>
  <c r="U45" i="8"/>
  <c r="U44" i="8"/>
  <c r="U43" i="8"/>
  <c r="U42" i="8"/>
  <c r="U41" i="8"/>
  <c r="U40" i="8"/>
  <c r="U39" i="8"/>
  <c r="U38" i="8"/>
  <c r="U37" i="8"/>
  <c r="U36" i="8"/>
  <c r="U35" i="8"/>
  <c r="U34" i="8"/>
  <c r="U33" i="8"/>
  <c r="U32" i="8"/>
  <c r="U31" i="8"/>
  <c r="U30" i="8"/>
  <c r="U29" i="8"/>
  <c r="U28" i="8"/>
  <c r="U27" i="8"/>
  <c r="U26" i="8"/>
  <c r="U25" i="8"/>
  <c r="U24" i="8"/>
  <c r="U23" i="8"/>
  <c r="U22" i="8"/>
  <c r="U21" i="8"/>
  <c r="U20" i="8"/>
  <c r="U19" i="8"/>
  <c r="U18" i="8"/>
  <c r="U17" i="8"/>
  <c r="U16" i="8"/>
  <c r="U15" i="8"/>
  <c r="U14" i="8"/>
  <c r="U13" i="8"/>
  <c r="U12" i="8"/>
  <c r="U11" i="8"/>
  <c r="U10" i="8"/>
  <c r="U9" i="8"/>
  <c r="U8" i="8"/>
  <c r="U7" i="8"/>
  <c r="U6" i="8"/>
  <c r="U5" i="8"/>
  <c r="U4" i="8"/>
  <c r="U3" i="8"/>
  <c r="U2" i="8"/>
  <c r="T81" i="8"/>
  <c r="T80" i="8"/>
  <c r="T79" i="8"/>
  <c r="T78" i="8"/>
  <c r="T77" i="8"/>
  <c r="T76" i="8"/>
  <c r="T75" i="8"/>
  <c r="T74" i="8"/>
  <c r="T73" i="8"/>
  <c r="T72" i="8"/>
  <c r="T71" i="8"/>
  <c r="T70" i="8"/>
  <c r="T69" i="8"/>
  <c r="T68" i="8"/>
  <c r="T67" i="8"/>
  <c r="T66" i="8"/>
  <c r="T65" i="8"/>
  <c r="T64" i="8"/>
  <c r="T63" i="8"/>
  <c r="T62" i="8"/>
  <c r="T61" i="8"/>
  <c r="T60" i="8"/>
  <c r="T59" i="8"/>
  <c r="T58" i="8"/>
  <c r="T57" i="8"/>
  <c r="T56" i="8"/>
  <c r="T55" i="8"/>
  <c r="T54" i="8"/>
  <c r="T53" i="8"/>
  <c r="T52" i="8"/>
  <c r="T51" i="8"/>
  <c r="T50" i="8"/>
  <c r="T49" i="8"/>
  <c r="T48" i="8"/>
  <c r="T47" i="8"/>
  <c r="T46" i="8"/>
  <c r="T45" i="8"/>
  <c r="T44" i="8"/>
  <c r="T43" i="8"/>
  <c r="T42" i="8"/>
  <c r="T41" i="8"/>
  <c r="T40" i="8"/>
  <c r="T39" i="8"/>
  <c r="T38" i="8"/>
  <c r="T37" i="8"/>
  <c r="T36" i="8"/>
  <c r="T35" i="8"/>
  <c r="T34" i="8"/>
  <c r="T33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T8" i="8"/>
  <c r="T7" i="8"/>
  <c r="T6" i="8"/>
  <c r="T5" i="8"/>
  <c r="T4" i="8"/>
  <c r="T3" i="8"/>
  <c r="T2" i="8"/>
  <c r="S81" i="8"/>
  <c r="S80" i="8"/>
  <c r="S79" i="8"/>
  <c r="S78" i="8"/>
  <c r="S77" i="8"/>
  <c r="S76" i="8"/>
  <c r="S75" i="8"/>
  <c r="S74" i="8"/>
  <c r="S73" i="8"/>
  <c r="S72" i="8"/>
  <c r="S71" i="8"/>
  <c r="S70" i="8"/>
  <c r="S69" i="8"/>
  <c r="S68" i="8"/>
  <c r="S67" i="8"/>
  <c r="S66" i="8"/>
  <c r="S65" i="8"/>
  <c r="S64" i="8"/>
  <c r="S63" i="8"/>
  <c r="S62" i="8"/>
  <c r="S61" i="8"/>
  <c r="S60" i="8"/>
  <c r="S59" i="8"/>
  <c r="S58" i="8"/>
  <c r="S57" i="8"/>
  <c r="S56" i="8"/>
  <c r="S55" i="8"/>
  <c r="S54" i="8"/>
  <c r="S53" i="8"/>
  <c r="S52" i="8"/>
  <c r="S51" i="8"/>
  <c r="S50" i="8"/>
  <c r="S49" i="8"/>
  <c r="S48" i="8"/>
  <c r="S47" i="8"/>
  <c r="S46" i="8"/>
  <c r="S45" i="8"/>
  <c r="S44" i="8"/>
  <c r="S43" i="8"/>
  <c r="S42" i="8"/>
  <c r="S41" i="8"/>
  <c r="S40" i="8"/>
  <c r="S39" i="8"/>
  <c r="S38" i="8"/>
  <c r="S37" i="8"/>
  <c r="S36" i="8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S9" i="8"/>
  <c r="S8" i="8"/>
  <c r="S7" i="8"/>
  <c r="S6" i="8"/>
  <c r="S5" i="8"/>
  <c r="S4" i="8"/>
  <c r="S3" i="8"/>
  <c r="S2" i="8"/>
  <c r="P81" i="8"/>
  <c r="Q81" i="8" s="1"/>
  <c r="P80" i="8"/>
  <c r="Q80" i="8" s="1"/>
  <c r="P79" i="8"/>
  <c r="Q79" i="8" s="1"/>
  <c r="P78" i="8"/>
  <c r="R78" i="8" s="1"/>
  <c r="P77" i="8"/>
  <c r="R77" i="8" s="1"/>
  <c r="P76" i="8"/>
  <c r="R76" i="8" s="1"/>
  <c r="P75" i="8"/>
  <c r="Q75" i="8" s="1"/>
  <c r="P74" i="8"/>
  <c r="Q74" i="8" s="1"/>
  <c r="P73" i="8"/>
  <c r="Q73" i="8" s="1"/>
  <c r="P72" i="8"/>
  <c r="R72" i="8" s="1"/>
  <c r="P71" i="8"/>
  <c r="R71" i="8" s="1"/>
  <c r="P70" i="8"/>
  <c r="Q70" i="8" s="1"/>
  <c r="P69" i="8"/>
  <c r="R69" i="8" s="1"/>
  <c r="P68" i="8"/>
  <c r="R68" i="8" s="1"/>
  <c r="P67" i="8"/>
  <c r="R67" i="8" s="1"/>
  <c r="P66" i="8"/>
  <c r="R66" i="8" s="1"/>
  <c r="P65" i="8"/>
  <c r="R65" i="8" s="1"/>
  <c r="P64" i="8"/>
  <c r="R64" i="8" s="1"/>
  <c r="P63" i="8"/>
  <c r="R63" i="8" s="1"/>
  <c r="P62" i="8"/>
  <c r="Q62" i="8" s="1"/>
  <c r="P61" i="8"/>
  <c r="Q61" i="8" s="1"/>
  <c r="P60" i="8"/>
  <c r="Q60" i="8" s="1"/>
  <c r="P59" i="8"/>
  <c r="Q59" i="8" s="1"/>
  <c r="P58" i="8"/>
  <c r="Q58" i="8" s="1"/>
  <c r="P57" i="8"/>
  <c r="Q57" i="8" s="1"/>
  <c r="P56" i="8"/>
  <c r="Q56" i="8" s="1"/>
  <c r="P55" i="8"/>
  <c r="Q55" i="8" s="1"/>
  <c r="P54" i="8"/>
  <c r="Q54" i="8" s="1"/>
  <c r="P53" i="8"/>
  <c r="Q53" i="8" s="1"/>
  <c r="P52" i="8"/>
  <c r="R52" i="8" s="1"/>
  <c r="P51" i="8"/>
  <c r="R51" i="8" s="1"/>
  <c r="P50" i="8"/>
  <c r="Q50" i="8" s="1"/>
  <c r="P49" i="8"/>
  <c r="R49" i="8" s="1"/>
  <c r="P48" i="8"/>
  <c r="R48" i="8" s="1"/>
  <c r="P47" i="8"/>
  <c r="R47" i="8" s="1"/>
  <c r="P46" i="8"/>
  <c r="R46" i="8" s="1"/>
  <c r="P45" i="8"/>
  <c r="R45" i="8" s="1"/>
  <c r="P44" i="8"/>
  <c r="R44" i="8" s="1"/>
  <c r="P43" i="8"/>
  <c r="R43" i="8" s="1"/>
  <c r="P42" i="8"/>
  <c r="Q42" i="8" s="1"/>
  <c r="P41" i="8"/>
  <c r="Q41" i="8" s="1"/>
  <c r="P40" i="8"/>
  <c r="Q40" i="8" s="1"/>
  <c r="P39" i="8"/>
  <c r="Q39" i="8" s="1"/>
  <c r="P38" i="8"/>
  <c r="Q38" i="8" s="1"/>
  <c r="P37" i="8"/>
  <c r="R37" i="8" s="1"/>
  <c r="P36" i="8"/>
  <c r="Q36" i="8" s="1"/>
  <c r="P35" i="8"/>
  <c r="Q35" i="8" s="1"/>
  <c r="P34" i="8"/>
  <c r="Q34" i="8" s="1"/>
  <c r="P33" i="8"/>
  <c r="Q33" i="8" s="1"/>
  <c r="P32" i="8"/>
  <c r="R32" i="8" s="1"/>
  <c r="P31" i="8"/>
  <c r="R31" i="8" s="1"/>
  <c r="P30" i="8"/>
  <c r="Q30" i="8" s="1"/>
  <c r="P29" i="8"/>
  <c r="R29" i="8" s="1"/>
  <c r="P28" i="8"/>
  <c r="R28" i="8" s="1"/>
  <c r="P27" i="8"/>
  <c r="R27" i="8" s="1"/>
  <c r="P26" i="8"/>
  <c r="R26" i="8" s="1"/>
  <c r="P25" i="8"/>
  <c r="R25" i="8" s="1"/>
  <c r="P24" i="8"/>
  <c r="R24" i="8" s="1"/>
  <c r="P23" i="8"/>
  <c r="R23" i="8" s="1"/>
  <c r="P22" i="8"/>
  <c r="Q22" i="8" s="1"/>
  <c r="P21" i="8"/>
  <c r="Q21" i="8" s="1"/>
  <c r="P20" i="8"/>
  <c r="Q20" i="8" s="1"/>
  <c r="P19" i="8"/>
  <c r="Q19" i="8" s="1"/>
  <c r="P18" i="8"/>
  <c r="R18" i="8" s="1"/>
  <c r="P17" i="8"/>
  <c r="R17" i="8" s="1"/>
  <c r="P16" i="8"/>
  <c r="R16" i="8" s="1"/>
  <c r="P15" i="8"/>
  <c r="Q15" i="8" s="1"/>
  <c r="P14" i="8"/>
  <c r="Q14" i="8" s="1"/>
  <c r="P13" i="8"/>
  <c r="Q13" i="8" s="1"/>
  <c r="P12" i="8"/>
  <c r="R12" i="8" s="1"/>
  <c r="P11" i="8"/>
  <c r="R11" i="8" s="1"/>
  <c r="P10" i="8"/>
  <c r="Q10" i="8" s="1"/>
  <c r="P9" i="8"/>
  <c r="R9" i="8" s="1"/>
  <c r="P8" i="8"/>
  <c r="R8" i="8" s="1"/>
  <c r="P7" i="8"/>
  <c r="Q7" i="8" s="1"/>
  <c r="P6" i="8"/>
  <c r="Q6" i="8" s="1"/>
  <c r="P5" i="8"/>
  <c r="R5" i="8" s="1"/>
  <c r="P4" i="8"/>
  <c r="R4" i="8" s="1"/>
  <c r="P3" i="8"/>
  <c r="R3" i="8" s="1"/>
  <c r="P2" i="8"/>
  <c r="Q2" i="8" s="1"/>
  <c r="K84" i="8"/>
  <c r="K83" i="8"/>
  <c r="K82" i="8"/>
  <c r="K81" i="8"/>
  <c r="K80" i="8"/>
  <c r="K79" i="8"/>
  <c r="K77" i="8"/>
  <c r="K76" i="8"/>
  <c r="K75" i="8"/>
  <c r="K74" i="8"/>
  <c r="K73" i="8"/>
  <c r="K72" i="8"/>
  <c r="K70" i="8"/>
  <c r="K69" i="8"/>
  <c r="K68" i="8"/>
  <c r="K67" i="8"/>
  <c r="K66" i="8"/>
  <c r="K65" i="8"/>
  <c r="K63" i="8"/>
  <c r="K62" i="8"/>
  <c r="K61" i="8"/>
  <c r="K60" i="8"/>
  <c r="K59" i="8"/>
  <c r="K58" i="8"/>
  <c r="K56" i="8"/>
  <c r="K55" i="8"/>
  <c r="K54" i="8"/>
  <c r="K53" i="8"/>
  <c r="K52" i="8"/>
  <c r="K51" i="8"/>
  <c r="K49" i="8"/>
  <c r="K48" i="8"/>
  <c r="K47" i="8"/>
  <c r="K46" i="8"/>
  <c r="K45" i="8"/>
  <c r="K44" i="8"/>
  <c r="K42" i="8"/>
  <c r="K41" i="8"/>
  <c r="K40" i="8"/>
  <c r="K39" i="8"/>
  <c r="K38" i="8"/>
  <c r="K37" i="8"/>
  <c r="K35" i="8"/>
  <c r="K34" i="8"/>
  <c r="K33" i="8"/>
  <c r="K32" i="8"/>
  <c r="K31" i="8"/>
  <c r="K30" i="8"/>
  <c r="K28" i="8"/>
  <c r="K27" i="8"/>
  <c r="K26" i="8"/>
  <c r="K25" i="8"/>
  <c r="K24" i="8"/>
  <c r="K23" i="8"/>
  <c r="K21" i="8"/>
  <c r="K20" i="8"/>
  <c r="K19" i="8"/>
  <c r="K18" i="8"/>
  <c r="K17" i="8"/>
  <c r="K16" i="8"/>
  <c r="K14" i="8"/>
  <c r="K13" i="8"/>
  <c r="K12" i="8"/>
  <c r="K11" i="8"/>
  <c r="K10" i="8"/>
  <c r="K9" i="8"/>
  <c r="K7" i="8"/>
  <c r="K6" i="8"/>
  <c r="K5" i="8"/>
  <c r="K4" i="8"/>
  <c r="K3" i="8"/>
  <c r="K2" i="8"/>
  <c r="O17" i="4"/>
  <c r="K79" i="4"/>
  <c r="K72" i="4"/>
  <c r="K65" i="4"/>
  <c r="K58" i="4"/>
  <c r="K51" i="4"/>
  <c r="K44" i="4"/>
  <c r="K37" i="4"/>
  <c r="K30" i="4"/>
  <c r="K23" i="4"/>
  <c r="K16" i="4"/>
  <c r="K9" i="4"/>
  <c r="K2" i="4"/>
  <c r="M23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7" i="4"/>
  <c r="H6" i="4"/>
  <c r="H5" i="4"/>
  <c r="H4" i="4"/>
  <c r="H3" i="4"/>
  <c r="H2" i="4"/>
  <c r="G63" i="4"/>
  <c r="G84" i="4"/>
  <c r="G83" i="4"/>
  <c r="G82" i="4"/>
  <c r="G81" i="4"/>
  <c r="G80" i="4"/>
  <c r="G79" i="4"/>
  <c r="G77" i="4"/>
  <c r="G76" i="4"/>
  <c r="G75" i="4"/>
  <c r="G74" i="4"/>
  <c r="G73" i="4"/>
  <c r="G72" i="4"/>
  <c r="G70" i="4"/>
  <c r="G69" i="4"/>
  <c r="G68" i="4"/>
  <c r="G67" i="4"/>
  <c r="G66" i="4"/>
  <c r="G65" i="4"/>
  <c r="G62" i="4"/>
  <c r="G61" i="4"/>
  <c r="G60" i="4"/>
  <c r="G59" i="4"/>
  <c r="G58" i="4"/>
  <c r="G56" i="4"/>
  <c r="G55" i="4"/>
  <c r="G54" i="4"/>
  <c r="G53" i="4"/>
  <c r="G52" i="4"/>
  <c r="G51" i="4"/>
  <c r="G49" i="4"/>
  <c r="G48" i="4"/>
  <c r="G47" i="4"/>
  <c r="G46" i="4"/>
  <c r="G45" i="4"/>
  <c r="G44" i="4"/>
  <c r="G42" i="4"/>
  <c r="G41" i="4"/>
  <c r="G40" i="4"/>
  <c r="G39" i="4"/>
  <c r="G38" i="4"/>
  <c r="G37" i="4"/>
  <c r="G35" i="4"/>
  <c r="G34" i="4"/>
  <c r="G33" i="4"/>
  <c r="G32" i="4"/>
  <c r="G31" i="4"/>
  <c r="G30" i="4"/>
  <c r="G28" i="4"/>
  <c r="G27" i="4"/>
  <c r="G26" i="4"/>
  <c r="G25" i="4"/>
  <c r="G24" i="4"/>
  <c r="G23" i="4"/>
  <c r="G21" i="4"/>
  <c r="G20" i="4"/>
  <c r="G19" i="4"/>
  <c r="G18" i="4"/>
  <c r="G17" i="4"/>
  <c r="G16" i="4"/>
  <c r="G14" i="4"/>
  <c r="G13" i="4"/>
  <c r="G12" i="4"/>
  <c r="G11" i="4"/>
  <c r="G10" i="4"/>
  <c r="G9" i="4"/>
  <c r="G7" i="4"/>
  <c r="G6" i="4"/>
  <c r="G5" i="4"/>
  <c r="G4" i="4"/>
  <c r="G3" i="4"/>
  <c r="M14" i="4" s="1"/>
  <c r="G2" i="4"/>
  <c r="M17" i="4" s="1"/>
  <c r="D7" i="9" l="1"/>
  <c r="D11" i="9"/>
  <c r="D12" i="9"/>
  <c r="D9" i="9"/>
  <c r="D10" i="9"/>
  <c r="D4" i="9"/>
  <c r="D8" i="9"/>
  <c r="D3" i="9"/>
  <c r="D5" i="9"/>
  <c r="D2" i="9"/>
  <c r="L23" i="8"/>
  <c r="Q77" i="8"/>
  <c r="R80" i="8"/>
  <c r="Q78" i="8"/>
  <c r="R79" i="8"/>
  <c r="R58" i="8"/>
  <c r="R57" i="8"/>
  <c r="R56" i="8"/>
  <c r="L44" i="8"/>
  <c r="Q16" i="8"/>
  <c r="R55" i="8"/>
  <c r="Q17" i="8"/>
  <c r="R40" i="8"/>
  <c r="R59" i="8"/>
  <c r="R39" i="8"/>
  <c r="R38" i="8"/>
  <c r="Q37" i="8"/>
  <c r="R36" i="8"/>
  <c r="L51" i="8"/>
  <c r="R35" i="8"/>
  <c r="Q18" i="8"/>
  <c r="L2" i="8"/>
  <c r="R20" i="8"/>
  <c r="Q76" i="8"/>
  <c r="R19" i="8"/>
  <c r="Q24" i="8"/>
  <c r="Q25" i="8"/>
  <c r="R22" i="8"/>
  <c r="L30" i="8"/>
  <c r="L58" i="8"/>
  <c r="L79" i="8"/>
  <c r="Q43" i="8"/>
  <c r="R75" i="8"/>
  <c r="Q5" i="8"/>
  <c r="L37" i="8"/>
  <c r="Q44" i="8"/>
  <c r="R62" i="8"/>
  <c r="L65" i="8"/>
  <c r="Q64" i="8"/>
  <c r="Q65" i="8"/>
  <c r="Q4" i="8"/>
  <c r="L72" i="8"/>
  <c r="R81" i="8"/>
  <c r="Q45" i="8"/>
  <c r="R61" i="8"/>
  <c r="Q63" i="8"/>
  <c r="Q3" i="8"/>
  <c r="R42" i="8"/>
  <c r="R41" i="8"/>
  <c r="R2" i="8"/>
  <c r="Q23" i="8"/>
  <c r="R21" i="8"/>
  <c r="L9" i="8"/>
  <c r="L16" i="8"/>
  <c r="R60" i="8"/>
  <c r="R15" i="8"/>
  <c r="Q8" i="8"/>
  <c r="Q28" i="8"/>
  <c r="Q48" i="8"/>
  <c r="Q68" i="8"/>
  <c r="Q9" i="8"/>
  <c r="Q29" i="8"/>
  <c r="Q49" i="8"/>
  <c r="Q69" i="8"/>
  <c r="R33" i="8"/>
  <c r="Q46" i="8"/>
  <c r="Q11" i="8"/>
  <c r="Q31" i="8"/>
  <c r="Q51" i="8"/>
  <c r="Q71" i="8"/>
  <c r="R74" i="8"/>
  <c r="R54" i="8"/>
  <c r="R34" i="8"/>
  <c r="R14" i="8"/>
  <c r="Q12" i="8"/>
  <c r="Q32" i="8"/>
  <c r="Q52" i="8"/>
  <c r="Q72" i="8"/>
  <c r="R73" i="8"/>
  <c r="R53" i="8"/>
  <c r="R13" i="8"/>
  <c r="R70" i="8"/>
  <c r="R50" i="8"/>
  <c r="R30" i="8"/>
  <c r="R10" i="8"/>
  <c r="R7" i="8"/>
  <c r="R6" i="8"/>
  <c r="Q26" i="8"/>
  <c r="Q66" i="8"/>
  <c r="Q27" i="8"/>
  <c r="Q47" i="8"/>
  <c r="Q67" i="8"/>
  <c r="I79" i="4" l="1"/>
  <c r="J79" i="4" s="1"/>
  <c r="I72" i="4"/>
  <c r="J72" i="4" s="1"/>
  <c r="I65" i="4"/>
  <c r="J65" i="4" s="1"/>
  <c r="I58" i="4"/>
  <c r="J58" i="4" s="1"/>
  <c r="I51" i="4"/>
  <c r="J51" i="4" s="1"/>
  <c r="I44" i="4"/>
  <c r="J44" i="4" s="1"/>
  <c r="I37" i="4"/>
  <c r="J37" i="4" s="1"/>
  <c r="I30" i="4"/>
  <c r="J30" i="4" s="1"/>
  <c r="I23" i="4"/>
  <c r="J23" i="4" s="1"/>
  <c r="I16" i="4"/>
  <c r="J16" i="4" s="1"/>
  <c r="I9" i="4"/>
  <c r="J9" i="4" s="1"/>
  <c r="I2" i="4"/>
  <c r="F84" i="4"/>
  <c r="F83" i="4"/>
  <c r="F82" i="4"/>
  <c r="F81" i="4"/>
  <c r="F80" i="4"/>
  <c r="F79" i="4"/>
  <c r="F77" i="4"/>
  <c r="F76" i="4"/>
  <c r="F75" i="4"/>
  <c r="F74" i="4"/>
  <c r="F73" i="4"/>
  <c r="F72" i="4"/>
  <c r="F70" i="4"/>
  <c r="F69" i="4"/>
  <c r="F68" i="4"/>
  <c r="F67" i="4"/>
  <c r="F66" i="4"/>
  <c r="F65" i="4"/>
  <c r="F63" i="4"/>
  <c r="F62" i="4"/>
  <c r="F61" i="4"/>
  <c r="F60" i="4"/>
  <c r="F59" i="4"/>
  <c r="F58" i="4"/>
  <c r="F56" i="4"/>
  <c r="F55" i="4"/>
  <c r="F54" i="4"/>
  <c r="F53" i="4"/>
  <c r="F52" i="4"/>
  <c r="F51" i="4"/>
  <c r="F49" i="4"/>
  <c r="F48" i="4"/>
  <c r="F47" i="4"/>
  <c r="F46" i="4"/>
  <c r="F45" i="4"/>
  <c r="F44" i="4"/>
  <c r="F42" i="4"/>
  <c r="F41" i="4"/>
  <c r="F40" i="4"/>
  <c r="F39" i="4"/>
  <c r="F38" i="4"/>
  <c r="F37" i="4"/>
  <c r="F35" i="4"/>
  <c r="F34" i="4"/>
  <c r="F33" i="4"/>
  <c r="F32" i="4"/>
  <c r="F31" i="4"/>
  <c r="F30" i="4"/>
  <c r="F28" i="4"/>
  <c r="F27" i="4"/>
  <c r="F26" i="4"/>
  <c r="F25" i="4"/>
  <c r="F24" i="4"/>
  <c r="F23" i="4"/>
  <c r="F21" i="4"/>
  <c r="F20" i="4"/>
  <c r="F19" i="4"/>
  <c r="F18" i="4"/>
  <c r="F17" i="4"/>
  <c r="F16" i="4"/>
  <c r="F14" i="4"/>
  <c r="F13" i="4"/>
  <c r="F12" i="4"/>
  <c r="F11" i="4"/>
  <c r="F10" i="4"/>
  <c r="F9" i="4"/>
  <c r="F7" i="4"/>
  <c r="F6" i="4"/>
  <c r="F5" i="4"/>
  <c r="F4" i="4"/>
  <c r="F3" i="4"/>
  <c r="F2" i="4"/>
  <c r="M11" i="4" l="1"/>
  <c r="J2" i="4"/>
  <c r="M20" i="4"/>
  <c r="M5" i="4"/>
  <c r="M8" i="4"/>
  <c r="M2" i="4"/>
  <c r="O14" i="4" l="1"/>
  <c r="O11" i="4"/>
</calcChain>
</file>

<file path=xl/sharedStrings.xml><?xml version="1.0" encoding="utf-8"?>
<sst xmlns="http://schemas.openxmlformats.org/spreadsheetml/2006/main" count="221" uniqueCount="142">
  <si>
    <t>Date</t>
  </si>
  <si>
    <t>Week</t>
  </si>
  <si>
    <t>Best_Sell_Price</t>
  </si>
  <si>
    <t>Explanation:</t>
  </si>
  <si>
    <t>Sub_Total</t>
  </si>
  <si>
    <t>Total_Profit (3 Months)</t>
  </si>
  <si>
    <t>We buy turnips once every Sunday in Animal Crossing.</t>
  </si>
  <si>
    <t>From Monday to Saturday, the price changes every day.</t>
  </si>
  <si>
    <t>This spreadsheet tracks the daily sell prices for 3 months in 2020 and calculates how much profit we would make if we sold on each day.</t>
  </si>
  <si>
    <t>For each week, we find the highest sell price and calculate the maximum possible profit from the 1,000 turnips we bought.</t>
  </si>
  <si>
    <t>So this sheet shows the best possible money we could have made each week and over the full 3-month period.</t>
  </si>
  <si>
    <t>Avg_Profit_Per_Turnip</t>
  </si>
  <si>
    <t>Min_Profit_Per_Turnip</t>
  </si>
  <si>
    <t>Max_Profit_Per_Turnip</t>
  </si>
  <si>
    <t>Standard_Deviation_Best_Sell</t>
  </si>
  <si>
    <t>Turnips (Given inventory = 1000)</t>
  </si>
  <si>
    <t>% profit</t>
  </si>
  <si>
    <t xml:space="preserve">ProfitPerTurnip </t>
  </si>
  <si>
    <t>SellPrice (Max Sell Price 660 Bells per Turnip)</t>
  </si>
  <si>
    <t>Sum_Of_Bells with 25% or higher profit</t>
  </si>
  <si>
    <t>Sub_Total_Of_All</t>
  </si>
  <si>
    <t>Average_Plus_3_Std</t>
  </si>
  <si>
    <t>Average_Minus_3_Std</t>
  </si>
  <si>
    <t>Standard_Deviation_Profit_Per_Turnip</t>
  </si>
  <si>
    <t>Count_Of_Bells with 25% or higher profit (Highlighted in Red)</t>
  </si>
  <si>
    <t>BuyPrice (Range is 90 - 110 Bells Per Turnip)</t>
  </si>
  <si>
    <t xml:space="preserve"> </t>
  </si>
  <si>
    <t>Winning_Week?</t>
  </si>
  <si>
    <t>Profit_Percentage</t>
  </si>
  <si>
    <t>Common_Count</t>
  </si>
  <si>
    <t>Medium_Count</t>
  </si>
  <si>
    <t>Large_Count</t>
  </si>
  <si>
    <t>Ultra_Count</t>
  </si>
  <si>
    <t>Common_Avg</t>
  </si>
  <si>
    <t>Medium_Avg</t>
  </si>
  <si>
    <t>Large_Avg</t>
  </si>
  <si>
    <t>Ultra_Avg</t>
  </si>
  <si>
    <t>Total_Day_Value</t>
  </si>
  <si>
    <t>Subtotal_For_Week</t>
  </si>
  <si>
    <t>Fish_Name</t>
  </si>
  <si>
    <t>Bitterling</t>
  </si>
  <si>
    <t>Pale chub</t>
  </si>
  <si>
    <t>Crucian carp</t>
  </si>
  <si>
    <t>Dace</t>
  </si>
  <si>
    <t>Carp</t>
  </si>
  <si>
    <t>Koi</t>
  </si>
  <si>
    <t>Goldfish</t>
  </si>
  <si>
    <t>Pop-eyed goldfish</t>
  </si>
  <si>
    <t>Ranchu goldfish</t>
  </si>
  <si>
    <t>Killifish</t>
  </si>
  <si>
    <t>Crawfish</t>
  </si>
  <si>
    <t>Soft-shelled turtle</t>
  </si>
  <si>
    <t>Snapping turtle</t>
  </si>
  <si>
    <t>Tadpole</t>
  </si>
  <si>
    <t>Frog</t>
  </si>
  <si>
    <t>Freshwater goby</t>
  </si>
  <si>
    <t>Loach</t>
  </si>
  <si>
    <t>Catfish</t>
  </si>
  <si>
    <t>Giant snakehead</t>
  </si>
  <si>
    <t>Bluegill</t>
  </si>
  <si>
    <t>Yellow perch</t>
  </si>
  <si>
    <t>Black bass</t>
  </si>
  <si>
    <t>Tilapia</t>
  </si>
  <si>
    <t>Pike</t>
  </si>
  <si>
    <t>Pond smelt</t>
  </si>
  <si>
    <t>Sweetfish</t>
  </si>
  <si>
    <t>Cherry salmon</t>
  </si>
  <si>
    <t>Char</t>
  </si>
  <si>
    <t>Golden trout</t>
  </si>
  <si>
    <t>Stringfish</t>
  </si>
  <si>
    <t>Salmon</t>
  </si>
  <si>
    <t>King salmon</t>
  </si>
  <si>
    <t>Mitten crab</t>
  </si>
  <si>
    <t>Guppy</t>
  </si>
  <si>
    <t>Nibble fish</t>
  </si>
  <si>
    <t>Angelfish</t>
  </si>
  <si>
    <t>Betta</t>
  </si>
  <si>
    <t>Neon tetra</t>
  </si>
  <si>
    <t>Rainbowfish</t>
  </si>
  <si>
    <t>Piranha</t>
  </si>
  <si>
    <t>Arowana</t>
  </si>
  <si>
    <t>Dorado</t>
  </si>
  <si>
    <t>Gar</t>
  </si>
  <si>
    <t>Arapaima</t>
  </si>
  <si>
    <t>Saddled bichir</t>
  </si>
  <si>
    <t>Sturgeon</t>
  </si>
  <si>
    <t>Sea butterfly</t>
  </si>
  <si>
    <t>Sea horse</t>
  </si>
  <si>
    <t>Clown fish</t>
  </si>
  <si>
    <t>Surgeonfish</t>
  </si>
  <si>
    <t>Butterfly fish</t>
  </si>
  <si>
    <t>Napoleonfish</t>
  </si>
  <si>
    <t>Zebra turkeyfish</t>
  </si>
  <si>
    <t>Blowfish</t>
  </si>
  <si>
    <t>Puffer fish</t>
  </si>
  <si>
    <t>Anchovy</t>
  </si>
  <si>
    <t>Horse mackerel</t>
  </si>
  <si>
    <t>Barred knifejaw</t>
  </si>
  <si>
    <t>Sea bass</t>
  </si>
  <si>
    <t>Red snapper</t>
  </si>
  <si>
    <t>Dab</t>
  </si>
  <si>
    <t>Olive flounder</t>
  </si>
  <si>
    <t>Squid</t>
  </si>
  <si>
    <t>Moray eel</t>
  </si>
  <si>
    <t>Ribbon eel</t>
  </si>
  <si>
    <t>Tuna</t>
  </si>
  <si>
    <t>Blue marlin</t>
  </si>
  <si>
    <t>Giant trevally</t>
  </si>
  <si>
    <t>Mahi-mahi</t>
  </si>
  <si>
    <t>Ocean sunfish</t>
  </si>
  <si>
    <t>Ray</t>
  </si>
  <si>
    <t>Saw shark</t>
  </si>
  <si>
    <t>Hammerhead shark</t>
  </si>
  <si>
    <t>Great white shark</t>
  </si>
  <si>
    <t>Whale shark</t>
  </si>
  <si>
    <t>Suckerfish</t>
  </si>
  <si>
    <t>Football fish</t>
  </si>
  <si>
    <t>Oarfish</t>
  </si>
  <si>
    <t>Barreleye</t>
  </si>
  <si>
    <t>Coelacanth</t>
  </si>
  <si>
    <t>Sell_Price</t>
  </si>
  <si>
    <t>Rarity_Class</t>
  </si>
  <si>
    <t>Low</t>
  </si>
  <si>
    <t>High</t>
  </si>
  <si>
    <t>Medium</t>
  </si>
  <si>
    <t>Ultra</t>
  </si>
  <si>
    <t>I write down the sell price every day that is offered</t>
  </si>
  <si>
    <t>Combined</t>
  </si>
  <si>
    <t>Get_Sell_Price_Using_Left</t>
  </si>
  <si>
    <t>Get_Sell_Price_Using_Mid</t>
  </si>
  <si>
    <t>Get_Rarity_Class - RIGHT(RIGHT())</t>
  </si>
  <si>
    <t>Get_Rarity_Class - FIND(FIND())</t>
  </si>
  <si>
    <t>Get_Rarity_Class - MID()</t>
  </si>
  <si>
    <t>Owen_Tran_8103</t>
  </si>
  <si>
    <t>Simple_Left</t>
  </si>
  <si>
    <t>Simple_Right</t>
  </si>
  <si>
    <t>Simple_Mid</t>
  </si>
  <si>
    <t>Turnip_SubTotal</t>
  </si>
  <si>
    <t>Fishing_SubTotal</t>
  </si>
  <si>
    <t>Total_Week_Profit</t>
  </si>
  <si>
    <t>SUMIF(range, criteria, sum_range)</t>
  </si>
  <si>
    <t>V_Lookup 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</si>
</sst>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44" fontId="0" fillId="0" borderId="0" xfId="1" applyFont="1"/>
    <xf numFmtId="14" fontId="0" fillId="0" borderId="0" xfId="0" applyNumberFormat="1"/>
    <xf numFmtId="44" fontId="0" fillId="0" borderId="0" xfId="0" applyNumberFormat="1"/>
    <xf numFmtId="9" fontId="0" fillId="0" borderId="0" xfId="2" applyFont="1"/>
  </cellXfs>
  <cellStyles count="3">
    <cellStyle name="Currency" xfId="1" builtinId="4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30E29-D983-4BA7-8995-E8F01FA67B39}">
  <dimension ref="A1:O84"/>
  <sheetViews>
    <sheetView tabSelected="1" workbookViewId="0">
      <selection activeCell="E1" sqref="E1"/>
    </sheetView>
  </sheetViews>
  <sheetFormatPr defaultRowHeight="14.4" x14ac:dyDescent="0.55000000000000004"/>
  <cols>
    <col min="3" max="3" width="36.7890625" bestFit="1" customWidth="1"/>
    <col min="4" max="4" width="26.89453125" bestFit="1" customWidth="1"/>
    <col min="5" max="5" width="37.68359375" bestFit="1" customWidth="1"/>
    <col min="6" max="6" width="13.20703125" bestFit="1" customWidth="1"/>
    <col min="7" max="7" width="13.20703125" style="4" customWidth="1"/>
    <col min="8" max="8" width="14.41796875" style="1" bestFit="1" customWidth="1"/>
    <col min="9" max="9" width="12.9453125" style="1" bestFit="1" customWidth="1"/>
    <col min="10" max="10" width="11.89453125" style="1" bestFit="1" customWidth="1"/>
    <col min="11" max="11" width="18.62890625" style="1" bestFit="1" customWidth="1"/>
    <col min="12" max="12" width="19.41796875" bestFit="1" customWidth="1"/>
    <col min="13" max="13" width="50.578125" bestFit="1" customWidth="1"/>
    <col min="15" max="15" width="16.7890625" bestFit="1" customWidth="1"/>
    <col min="18" max="18" width="11" customWidth="1"/>
  </cols>
  <sheetData>
    <row r="1" spans="1:15" x14ac:dyDescent="0.55000000000000004">
      <c r="A1" t="s">
        <v>1</v>
      </c>
      <c r="B1" t="s">
        <v>0</v>
      </c>
      <c r="C1" t="s">
        <v>25</v>
      </c>
      <c r="D1" t="s">
        <v>15</v>
      </c>
      <c r="E1" t="s">
        <v>18</v>
      </c>
      <c r="F1" t="s">
        <v>17</v>
      </c>
      <c r="G1" s="4" t="s">
        <v>16</v>
      </c>
      <c r="H1" s="1" t="s">
        <v>20</v>
      </c>
      <c r="I1" s="1" t="s">
        <v>2</v>
      </c>
      <c r="J1" s="1" t="s">
        <v>4</v>
      </c>
      <c r="K1" s="1" t="s">
        <v>27</v>
      </c>
      <c r="M1" t="s">
        <v>11</v>
      </c>
    </row>
    <row r="2" spans="1:15" x14ac:dyDescent="0.55000000000000004">
      <c r="A2">
        <v>1</v>
      </c>
      <c r="B2" s="2">
        <v>43906</v>
      </c>
      <c r="C2">
        <v>95</v>
      </c>
      <c r="D2">
        <v>1000</v>
      </c>
      <c r="E2">
        <v>110</v>
      </c>
      <c r="F2">
        <f xml:space="preserve"> E2 - C2</f>
        <v>15</v>
      </c>
      <c r="G2" s="4">
        <f xml:space="preserve"> (E2-C2)/(C2)</f>
        <v>0.15789473684210525</v>
      </c>
      <c r="H2" s="1">
        <f xml:space="preserve"> E2 * D2 - C2 * D2</f>
        <v>15000</v>
      </c>
      <c r="I2" s="1">
        <f xml:space="preserve"> MAX(E2:E7)</f>
        <v>110</v>
      </c>
      <c r="J2" s="1">
        <f xml:space="preserve"> (I2 *D2) - (C2 *D2)</f>
        <v>15000</v>
      </c>
      <c r="K2" s="1" t="str">
        <f xml:space="preserve"> IF(J2 &gt; 0, "Profit This Week", "Negative This Week")</f>
        <v>Profit This Week</v>
      </c>
      <c r="L2" s="3"/>
      <c r="M2" s="3">
        <f xml:space="preserve"> AVERAGE(F2:F84)</f>
        <v>36.291666666666664</v>
      </c>
    </row>
    <row r="3" spans="1:15" x14ac:dyDescent="0.55000000000000004">
      <c r="A3">
        <v>1</v>
      </c>
      <c r="B3" s="2">
        <v>43907</v>
      </c>
      <c r="C3">
        <v>95</v>
      </c>
      <c r="D3">
        <v>1000</v>
      </c>
      <c r="E3">
        <v>105</v>
      </c>
      <c r="F3">
        <f t="shared" ref="F3:F66" si="0" xml:space="preserve"> E3 - C3</f>
        <v>10</v>
      </c>
      <c r="G3" s="4">
        <f t="shared" ref="G3:G66" si="1" xml:space="preserve"> (E3-C3)/(C3)</f>
        <v>0.10526315789473684</v>
      </c>
      <c r="H3" s="1">
        <f t="shared" ref="H3:H66" si="2" xml:space="preserve"> E3 * D3 - C3 * D3</f>
        <v>10000</v>
      </c>
    </row>
    <row r="4" spans="1:15" x14ac:dyDescent="0.55000000000000004">
      <c r="A4">
        <v>1</v>
      </c>
      <c r="B4" s="2">
        <v>43908</v>
      </c>
      <c r="C4">
        <v>95</v>
      </c>
      <c r="D4">
        <v>1000</v>
      </c>
      <c r="E4">
        <v>98</v>
      </c>
      <c r="F4">
        <f t="shared" si="0"/>
        <v>3</v>
      </c>
      <c r="G4" s="4">
        <f t="shared" si="1"/>
        <v>3.1578947368421054E-2</v>
      </c>
      <c r="H4" s="1">
        <f t="shared" si="2"/>
        <v>3000</v>
      </c>
      <c r="M4" t="s">
        <v>12</v>
      </c>
    </row>
    <row r="5" spans="1:15" x14ac:dyDescent="0.55000000000000004">
      <c r="A5">
        <v>1</v>
      </c>
      <c r="B5" s="2">
        <v>43909</v>
      </c>
      <c r="C5">
        <v>95</v>
      </c>
      <c r="D5">
        <v>1000</v>
      </c>
      <c r="E5">
        <v>90</v>
      </c>
      <c r="F5">
        <f t="shared" si="0"/>
        <v>-5</v>
      </c>
      <c r="G5" s="4">
        <f t="shared" si="1"/>
        <v>-5.2631578947368418E-2</v>
      </c>
      <c r="H5" s="1">
        <f t="shared" si="2"/>
        <v>-5000</v>
      </c>
      <c r="M5" s="1">
        <f xml:space="preserve"> MIN(F2:F84)</f>
        <v>-32</v>
      </c>
    </row>
    <row r="6" spans="1:15" x14ac:dyDescent="0.55000000000000004">
      <c r="A6">
        <v>1</v>
      </c>
      <c r="B6" s="2">
        <v>43910</v>
      </c>
      <c r="C6">
        <v>95</v>
      </c>
      <c r="D6">
        <v>1000</v>
      </c>
      <c r="E6">
        <v>85</v>
      </c>
      <c r="F6">
        <f t="shared" si="0"/>
        <v>-10</v>
      </c>
      <c r="G6" s="4">
        <f t="shared" si="1"/>
        <v>-0.10526315789473684</v>
      </c>
      <c r="H6" s="1">
        <f t="shared" si="2"/>
        <v>-10000</v>
      </c>
    </row>
    <row r="7" spans="1:15" x14ac:dyDescent="0.55000000000000004">
      <c r="A7">
        <v>1</v>
      </c>
      <c r="B7" s="2">
        <v>43911</v>
      </c>
      <c r="C7">
        <v>95</v>
      </c>
      <c r="D7">
        <v>1000</v>
      </c>
      <c r="E7">
        <v>80</v>
      </c>
      <c r="F7">
        <f t="shared" si="0"/>
        <v>-15</v>
      </c>
      <c r="G7" s="4">
        <f t="shared" si="1"/>
        <v>-0.15789473684210525</v>
      </c>
      <c r="H7" s="1">
        <f t="shared" si="2"/>
        <v>-15000</v>
      </c>
      <c r="M7" t="s">
        <v>13</v>
      </c>
    </row>
    <row r="8" spans="1:15" x14ac:dyDescent="0.55000000000000004">
      <c r="H8" s="1">
        <f t="shared" si="2"/>
        <v>0</v>
      </c>
      <c r="M8" s="1">
        <f xml:space="preserve"> MAX(F2:F84)</f>
        <v>460</v>
      </c>
    </row>
    <row r="9" spans="1:15" x14ac:dyDescent="0.55000000000000004">
      <c r="A9">
        <v>2</v>
      </c>
      <c r="B9" s="2">
        <v>43913</v>
      </c>
      <c r="C9">
        <v>92</v>
      </c>
      <c r="D9">
        <v>1000</v>
      </c>
      <c r="E9">
        <v>88</v>
      </c>
      <c r="F9">
        <f t="shared" si="0"/>
        <v>-4</v>
      </c>
      <c r="G9" s="4">
        <f t="shared" si="1"/>
        <v>-4.3478260869565216E-2</v>
      </c>
      <c r="H9" s="1">
        <f t="shared" si="2"/>
        <v>-4000</v>
      </c>
      <c r="I9" s="1">
        <f xml:space="preserve"> MAX(E9:E14)</f>
        <v>88</v>
      </c>
      <c r="J9" s="1">
        <f xml:space="preserve"> (I9 *D9) - (C9 *D9)</f>
        <v>-4000</v>
      </c>
      <c r="K9" s="1" t="str">
        <f xml:space="preserve"> IF(J9 &gt; 0, "Profit This Week", "Negative This Week")</f>
        <v>Negative This Week</v>
      </c>
    </row>
    <row r="10" spans="1:15" x14ac:dyDescent="0.55000000000000004">
      <c r="A10">
        <v>2</v>
      </c>
      <c r="B10" s="2">
        <v>43914</v>
      </c>
      <c r="C10">
        <v>92</v>
      </c>
      <c r="D10">
        <v>1000</v>
      </c>
      <c r="E10">
        <v>82</v>
      </c>
      <c r="F10">
        <f t="shared" si="0"/>
        <v>-10</v>
      </c>
      <c r="G10" s="4">
        <f t="shared" si="1"/>
        <v>-0.10869565217391304</v>
      </c>
      <c r="H10" s="1">
        <f t="shared" si="2"/>
        <v>-10000</v>
      </c>
      <c r="L10" t="s">
        <v>26</v>
      </c>
      <c r="M10" t="s">
        <v>14</v>
      </c>
      <c r="O10" t="s">
        <v>21</v>
      </c>
    </row>
    <row r="11" spans="1:15" x14ac:dyDescent="0.55000000000000004">
      <c r="A11">
        <v>2</v>
      </c>
      <c r="B11" s="2">
        <v>43915</v>
      </c>
      <c r="C11">
        <v>92</v>
      </c>
      <c r="D11">
        <v>1000</v>
      </c>
      <c r="E11">
        <v>76</v>
      </c>
      <c r="F11">
        <f t="shared" si="0"/>
        <v>-16</v>
      </c>
      <c r="G11" s="4">
        <f t="shared" si="1"/>
        <v>-0.17391304347826086</v>
      </c>
      <c r="H11" s="1">
        <f t="shared" si="2"/>
        <v>-16000</v>
      </c>
      <c r="M11" s="1">
        <f xml:space="preserve"> ROUND(STDEV(I2:I79), 2)</f>
        <v>189.98</v>
      </c>
      <c r="O11" s="3">
        <f xml:space="preserve"> M2 + 3 *M20</f>
        <v>352.20741303398046</v>
      </c>
    </row>
    <row r="12" spans="1:15" x14ac:dyDescent="0.55000000000000004">
      <c r="A12">
        <v>2</v>
      </c>
      <c r="B12" s="2">
        <v>43916</v>
      </c>
      <c r="C12">
        <v>92</v>
      </c>
      <c r="D12">
        <v>1000</v>
      </c>
      <c r="E12">
        <v>70</v>
      </c>
      <c r="F12">
        <f t="shared" si="0"/>
        <v>-22</v>
      </c>
      <c r="G12" s="4">
        <f t="shared" si="1"/>
        <v>-0.2391304347826087</v>
      </c>
      <c r="H12" s="1">
        <f t="shared" si="2"/>
        <v>-22000</v>
      </c>
    </row>
    <row r="13" spans="1:15" x14ac:dyDescent="0.55000000000000004">
      <c r="A13">
        <v>2</v>
      </c>
      <c r="B13" s="2">
        <v>43917</v>
      </c>
      <c r="C13">
        <v>92</v>
      </c>
      <c r="D13">
        <v>1000</v>
      </c>
      <c r="E13">
        <v>65</v>
      </c>
      <c r="F13">
        <f t="shared" si="0"/>
        <v>-27</v>
      </c>
      <c r="G13" s="4">
        <f t="shared" si="1"/>
        <v>-0.29347826086956524</v>
      </c>
      <c r="H13" s="1">
        <f t="shared" si="2"/>
        <v>-27000</v>
      </c>
      <c r="M13" t="s">
        <v>19</v>
      </c>
      <c r="O13" t="s">
        <v>22</v>
      </c>
    </row>
    <row r="14" spans="1:15" x14ac:dyDescent="0.55000000000000004">
      <c r="A14">
        <v>2</v>
      </c>
      <c r="B14" s="2">
        <v>43918</v>
      </c>
      <c r="C14">
        <v>92</v>
      </c>
      <c r="D14">
        <v>1000</v>
      </c>
      <c r="E14">
        <v>60</v>
      </c>
      <c r="F14">
        <f t="shared" si="0"/>
        <v>-32</v>
      </c>
      <c r="G14" s="4">
        <f t="shared" si="1"/>
        <v>-0.34782608695652173</v>
      </c>
      <c r="H14" s="1">
        <f t="shared" si="2"/>
        <v>-32000</v>
      </c>
      <c r="M14" s="1">
        <f>SUMIF(G2:G84, "&gt;="&amp;0.25, H2:H84)</f>
        <v>3073000</v>
      </c>
      <c r="O14" s="3">
        <f xml:space="preserve"> M2 - 3 * M20</f>
        <v>-279.62407970064709</v>
      </c>
    </row>
    <row r="15" spans="1:15" x14ac:dyDescent="0.55000000000000004">
      <c r="H15" s="1">
        <f t="shared" si="2"/>
        <v>0</v>
      </c>
    </row>
    <row r="16" spans="1:15" x14ac:dyDescent="0.55000000000000004">
      <c r="A16">
        <v>3</v>
      </c>
      <c r="B16" s="2">
        <v>43920</v>
      </c>
      <c r="C16">
        <v>97</v>
      </c>
      <c r="D16">
        <v>1000</v>
      </c>
      <c r="E16">
        <v>90</v>
      </c>
      <c r="F16">
        <f t="shared" si="0"/>
        <v>-7</v>
      </c>
      <c r="G16" s="4">
        <f t="shared" si="1"/>
        <v>-7.2164948453608241E-2</v>
      </c>
      <c r="H16" s="1">
        <f t="shared" si="2"/>
        <v>-7000</v>
      </c>
      <c r="I16" s="1">
        <f xml:space="preserve"> MAX(E16:E21)</f>
        <v>240</v>
      </c>
      <c r="J16" s="1">
        <f xml:space="preserve"> (I16 *D16) - (C16 *D16)</f>
        <v>143000</v>
      </c>
      <c r="K16" s="1" t="str">
        <f xml:space="preserve"> IF(J16 &gt; 0, "Profit This Week", "Negative This Week")</f>
        <v>Profit This Week</v>
      </c>
      <c r="M16" t="s">
        <v>24</v>
      </c>
      <c r="O16" t="s">
        <v>28</v>
      </c>
    </row>
    <row r="17" spans="1:15" x14ac:dyDescent="0.55000000000000004">
      <c r="A17">
        <v>3</v>
      </c>
      <c r="B17" s="2">
        <v>43921</v>
      </c>
      <c r="C17">
        <v>97</v>
      </c>
      <c r="D17">
        <v>1000</v>
      </c>
      <c r="E17">
        <v>85</v>
      </c>
      <c r="F17">
        <f t="shared" si="0"/>
        <v>-12</v>
      </c>
      <c r="G17" s="4">
        <f t="shared" si="1"/>
        <v>-0.12371134020618557</v>
      </c>
      <c r="H17" s="1">
        <f t="shared" si="2"/>
        <v>-12000</v>
      </c>
      <c r="M17">
        <f xml:space="preserve"> COUNTIF(G2:G84, "&gt;= 0.25")</f>
        <v>16</v>
      </c>
      <c r="O17" s="4">
        <f xml:space="preserve"> COUNTIF(K2:K79,"Profit This Week")/12</f>
        <v>0.66666666666666663</v>
      </c>
    </row>
    <row r="18" spans="1:15" x14ac:dyDescent="0.55000000000000004">
      <c r="A18">
        <v>3</v>
      </c>
      <c r="B18" s="2">
        <v>43922</v>
      </c>
      <c r="C18">
        <v>97</v>
      </c>
      <c r="D18">
        <v>1000</v>
      </c>
      <c r="E18">
        <v>80</v>
      </c>
      <c r="F18">
        <f t="shared" si="0"/>
        <v>-17</v>
      </c>
      <c r="G18" s="4">
        <f t="shared" si="1"/>
        <v>-0.17525773195876287</v>
      </c>
      <c r="H18" s="1">
        <f t="shared" si="2"/>
        <v>-17000</v>
      </c>
    </row>
    <row r="19" spans="1:15" x14ac:dyDescent="0.55000000000000004">
      <c r="A19">
        <v>3</v>
      </c>
      <c r="B19" s="2">
        <v>43923</v>
      </c>
      <c r="C19">
        <v>97</v>
      </c>
      <c r="D19">
        <v>1000</v>
      </c>
      <c r="E19">
        <v>120</v>
      </c>
      <c r="F19">
        <f t="shared" si="0"/>
        <v>23</v>
      </c>
      <c r="G19" s="4">
        <f t="shared" si="1"/>
        <v>0.23711340206185566</v>
      </c>
      <c r="H19" s="1">
        <f t="shared" si="2"/>
        <v>23000</v>
      </c>
      <c r="M19" t="s">
        <v>23</v>
      </c>
    </row>
    <row r="20" spans="1:15" x14ac:dyDescent="0.55000000000000004">
      <c r="A20">
        <v>3</v>
      </c>
      <c r="B20" s="2">
        <v>43924</v>
      </c>
      <c r="C20">
        <v>97</v>
      </c>
      <c r="D20">
        <v>1000</v>
      </c>
      <c r="E20">
        <v>240</v>
      </c>
      <c r="F20">
        <f t="shared" si="0"/>
        <v>143</v>
      </c>
      <c r="G20" s="4">
        <f t="shared" si="1"/>
        <v>1.4742268041237114</v>
      </c>
      <c r="H20" s="1">
        <f t="shared" si="2"/>
        <v>143000</v>
      </c>
      <c r="M20" s="1">
        <f xml:space="preserve"> STDEV(F2:F84)</f>
        <v>105.30524878910458</v>
      </c>
    </row>
    <row r="21" spans="1:15" x14ac:dyDescent="0.55000000000000004">
      <c r="A21">
        <v>3</v>
      </c>
      <c r="B21" s="2">
        <v>43925</v>
      </c>
      <c r="C21">
        <v>97</v>
      </c>
      <c r="D21">
        <v>1000</v>
      </c>
      <c r="E21">
        <v>180</v>
      </c>
      <c r="F21">
        <f t="shared" si="0"/>
        <v>83</v>
      </c>
      <c r="G21" s="4">
        <f t="shared" si="1"/>
        <v>0.85567010309278346</v>
      </c>
      <c r="H21" s="1">
        <f t="shared" si="2"/>
        <v>83000</v>
      </c>
    </row>
    <row r="22" spans="1:15" x14ac:dyDescent="0.55000000000000004">
      <c r="H22" s="1">
        <f t="shared" si="2"/>
        <v>0</v>
      </c>
      <c r="M22" t="s">
        <v>5</v>
      </c>
    </row>
    <row r="23" spans="1:15" x14ac:dyDescent="0.55000000000000004">
      <c r="A23">
        <v>4</v>
      </c>
      <c r="B23" s="2">
        <v>43927</v>
      </c>
      <c r="C23">
        <v>90</v>
      </c>
      <c r="D23">
        <v>1000</v>
      </c>
      <c r="E23">
        <v>85</v>
      </c>
      <c r="F23">
        <f t="shared" si="0"/>
        <v>-5</v>
      </c>
      <c r="G23" s="4">
        <f t="shared" si="1"/>
        <v>-5.5555555555555552E-2</v>
      </c>
      <c r="H23" s="1">
        <f t="shared" si="2"/>
        <v>-5000</v>
      </c>
      <c r="I23" s="1">
        <f xml:space="preserve"> MAX(E23:E28)</f>
        <v>550</v>
      </c>
      <c r="J23" s="1">
        <f xml:space="preserve"> (I23 *D23) - (C23 *D23)</f>
        <v>460000</v>
      </c>
      <c r="K23" s="1" t="str">
        <f xml:space="preserve"> IF(J23 &gt; 0, "Profit This Week", "Negative This Week")</f>
        <v>Profit This Week</v>
      </c>
      <c r="M23" s="3">
        <f xml:space="preserve"> SUM(J2:J79)</f>
        <v>1733000</v>
      </c>
    </row>
    <row r="24" spans="1:15" x14ac:dyDescent="0.55000000000000004">
      <c r="A24">
        <v>4</v>
      </c>
      <c r="B24" s="2">
        <v>43928</v>
      </c>
      <c r="C24">
        <v>90</v>
      </c>
      <c r="D24">
        <v>1000</v>
      </c>
      <c r="E24">
        <v>80</v>
      </c>
      <c r="F24">
        <f t="shared" si="0"/>
        <v>-10</v>
      </c>
      <c r="G24" s="4">
        <f t="shared" si="1"/>
        <v>-0.1111111111111111</v>
      </c>
      <c r="H24" s="1">
        <f t="shared" si="2"/>
        <v>-10000</v>
      </c>
    </row>
    <row r="25" spans="1:15" x14ac:dyDescent="0.55000000000000004">
      <c r="A25">
        <v>4</v>
      </c>
      <c r="B25" s="2">
        <v>43929</v>
      </c>
      <c r="C25">
        <v>90</v>
      </c>
      <c r="D25">
        <v>1000</v>
      </c>
      <c r="E25">
        <v>75</v>
      </c>
      <c r="F25">
        <f t="shared" si="0"/>
        <v>-15</v>
      </c>
      <c r="G25" s="4">
        <f t="shared" si="1"/>
        <v>-0.16666666666666666</v>
      </c>
      <c r="H25" s="1">
        <f t="shared" si="2"/>
        <v>-15000</v>
      </c>
    </row>
    <row r="26" spans="1:15" x14ac:dyDescent="0.55000000000000004">
      <c r="A26">
        <v>4</v>
      </c>
      <c r="B26" s="2">
        <v>43930</v>
      </c>
      <c r="C26">
        <v>90</v>
      </c>
      <c r="D26">
        <v>1000</v>
      </c>
      <c r="E26">
        <v>130</v>
      </c>
      <c r="F26">
        <f t="shared" si="0"/>
        <v>40</v>
      </c>
      <c r="G26" s="4">
        <f t="shared" si="1"/>
        <v>0.44444444444444442</v>
      </c>
      <c r="H26" s="1">
        <f t="shared" si="2"/>
        <v>40000</v>
      </c>
    </row>
    <row r="27" spans="1:15" x14ac:dyDescent="0.55000000000000004">
      <c r="A27">
        <v>4</v>
      </c>
      <c r="B27" s="2">
        <v>43931</v>
      </c>
      <c r="C27">
        <v>90</v>
      </c>
      <c r="D27">
        <v>1000</v>
      </c>
      <c r="E27">
        <v>300</v>
      </c>
      <c r="F27">
        <f t="shared" si="0"/>
        <v>210</v>
      </c>
      <c r="G27" s="4">
        <f t="shared" si="1"/>
        <v>2.3333333333333335</v>
      </c>
      <c r="H27" s="1">
        <f t="shared" si="2"/>
        <v>210000</v>
      </c>
      <c r="M27" t="s">
        <v>3</v>
      </c>
    </row>
    <row r="28" spans="1:15" x14ac:dyDescent="0.55000000000000004">
      <c r="A28">
        <v>4</v>
      </c>
      <c r="B28" s="2">
        <v>43932</v>
      </c>
      <c r="C28">
        <v>90</v>
      </c>
      <c r="D28">
        <v>1000</v>
      </c>
      <c r="E28">
        <v>550</v>
      </c>
      <c r="F28">
        <f t="shared" si="0"/>
        <v>460</v>
      </c>
      <c r="G28" s="4">
        <f t="shared" si="1"/>
        <v>5.1111111111111107</v>
      </c>
      <c r="H28" s="1">
        <f t="shared" si="2"/>
        <v>460000</v>
      </c>
      <c r="M28" t="s">
        <v>6</v>
      </c>
    </row>
    <row r="29" spans="1:15" x14ac:dyDescent="0.55000000000000004">
      <c r="H29" s="1">
        <f t="shared" si="2"/>
        <v>0</v>
      </c>
      <c r="M29" t="s">
        <v>7</v>
      </c>
    </row>
    <row r="30" spans="1:15" x14ac:dyDescent="0.55000000000000004">
      <c r="A30">
        <v>5</v>
      </c>
      <c r="B30" s="2">
        <v>43934</v>
      </c>
      <c r="C30">
        <v>100</v>
      </c>
      <c r="D30">
        <v>1000</v>
      </c>
      <c r="E30">
        <v>95</v>
      </c>
      <c r="F30">
        <f t="shared" si="0"/>
        <v>-5</v>
      </c>
      <c r="G30" s="4">
        <f t="shared" si="1"/>
        <v>-0.05</v>
      </c>
      <c r="H30" s="1">
        <f t="shared" si="2"/>
        <v>-5000</v>
      </c>
      <c r="I30" s="1">
        <f xml:space="preserve"> MAX(E30:E35)</f>
        <v>115</v>
      </c>
      <c r="J30" s="1">
        <f xml:space="preserve"> (I30 *D30) - (C30 *D30)</f>
        <v>15000</v>
      </c>
      <c r="K30" s="1" t="str">
        <f xml:space="preserve"> IF(J30 &gt; 0, "Profit This Week", "Negative This Week")</f>
        <v>Profit This Week</v>
      </c>
      <c r="M30" t="s">
        <v>8</v>
      </c>
    </row>
    <row r="31" spans="1:15" x14ac:dyDescent="0.55000000000000004">
      <c r="A31">
        <v>5</v>
      </c>
      <c r="B31" s="2">
        <v>43935</v>
      </c>
      <c r="C31">
        <v>100</v>
      </c>
      <c r="D31">
        <v>1000</v>
      </c>
      <c r="E31">
        <v>110</v>
      </c>
      <c r="F31">
        <f t="shared" si="0"/>
        <v>10</v>
      </c>
      <c r="G31" s="4">
        <f t="shared" si="1"/>
        <v>0.1</v>
      </c>
      <c r="H31" s="1">
        <f t="shared" si="2"/>
        <v>10000</v>
      </c>
      <c r="M31" t="s">
        <v>9</v>
      </c>
    </row>
    <row r="32" spans="1:15" x14ac:dyDescent="0.55000000000000004">
      <c r="A32">
        <v>5</v>
      </c>
      <c r="B32" s="2">
        <v>43936</v>
      </c>
      <c r="C32">
        <v>100</v>
      </c>
      <c r="D32">
        <v>1000</v>
      </c>
      <c r="E32">
        <v>105</v>
      </c>
      <c r="F32">
        <f t="shared" si="0"/>
        <v>5</v>
      </c>
      <c r="G32" s="4">
        <f t="shared" si="1"/>
        <v>0.05</v>
      </c>
      <c r="H32" s="1">
        <f t="shared" si="2"/>
        <v>5000</v>
      </c>
      <c r="M32" t="s">
        <v>10</v>
      </c>
    </row>
    <row r="33" spans="1:13" x14ac:dyDescent="0.55000000000000004">
      <c r="A33">
        <v>5</v>
      </c>
      <c r="B33" s="2">
        <v>43937</v>
      </c>
      <c r="C33">
        <v>100</v>
      </c>
      <c r="D33">
        <v>1000</v>
      </c>
      <c r="E33">
        <v>115</v>
      </c>
      <c r="F33">
        <f t="shared" si="0"/>
        <v>15</v>
      </c>
      <c r="G33" s="4">
        <f t="shared" si="1"/>
        <v>0.15</v>
      </c>
      <c r="H33" s="1">
        <f t="shared" si="2"/>
        <v>15000</v>
      </c>
    </row>
    <row r="34" spans="1:13" x14ac:dyDescent="0.55000000000000004">
      <c r="A34">
        <v>5</v>
      </c>
      <c r="B34" s="2">
        <v>43938</v>
      </c>
      <c r="C34">
        <v>100</v>
      </c>
      <c r="D34">
        <v>1000</v>
      </c>
      <c r="E34">
        <v>108</v>
      </c>
      <c r="F34">
        <f t="shared" si="0"/>
        <v>8</v>
      </c>
      <c r="G34" s="4">
        <f t="shared" si="1"/>
        <v>0.08</v>
      </c>
      <c r="H34" s="1">
        <f t="shared" si="2"/>
        <v>8000</v>
      </c>
      <c r="M34" t="s">
        <v>126</v>
      </c>
    </row>
    <row r="35" spans="1:13" x14ac:dyDescent="0.55000000000000004">
      <c r="A35">
        <v>5</v>
      </c>
      <c r="B35" s="2">
        <v>43939</v>
      </c>
      <c r="C35">
        <v>100</v>
      </c>
      <c r="D35">
        <v>1000</v>
      </c>
      <c r="E35">
        <v>102</v>
      </c>
      <c r="F35">
        <f t="shared" si="0"/>
        <v>2</v>
      </c>
      <c r="G35" s="4">
        <f t="shared" si="1"/>
        <v>0.02</v>
      </c>
      <c r="H35" s="1">
        <f t="shared" si="2"/>
        <v>2000</v>
      </c>
    </row>
    <row r="36" spans="1:13" x14ac:dyDescent="0.55000000000000004">
      <c r="H36" s="1">
        <f t="shared" si="2"/>
        <v>0</v>
      </c>
    </row>
    <row r="37" spans="1:13" x14ac:dyDescent="0.55000000000000004">
      <c r="A37">
        <v>6</v>
      </c>
      <c r="B37" s="2">
        <v>43941</v>
      </c>
      <c r="C37">
        <v>93</v>
      </c>
      <c r="D37">
        <v>1000</v>
      </c>
      <c r="E37">
        <v>88</v>
      </c>
      <c r="F37">
        <f t="shared" si="0"/>
        <v>-5</v>
      </c>
      <c r="G37" s="4">
        <f t="shared" si="1"/>
        <v>-5.3763440860215055E-2</v>
      </c>
      <c r="H37" s="1">
        <f t="shared" si="2"/>
        <v>-5000</v>
      </c>
      <c r="I37" s="1">
        <f xml:space="preserve"> MAX(E37:E42)</f>
        <v>88</v>
      </c>
      <c r="J37" s="1">
        <f xml:space="preserve"> (I37 *D37) - (C37 *D37)</f>
        <v>-5000</v>
      </c>
      <c r="K37" s="1" t="str">
        <f xml:space="preserve"> IF(J37 &gt; 0, "Profit This Week", "Negative This Week")</f>
        <v>Negative This Week</v>
      </c>
    </row>
    <row r="38" spans="1:13" x14ac:dyDescent="0.55000000000000004">
      <c r="A38">
        <v>6</v>
      </c>
      <c r="B38" s="2">
        <v>43942</v>
      </c>
      <c r="C38">
        <v>93</v>
      </c>
      <c r="D38">
        <v>1000</v>
      </c>
      <c r="E38">
        <v>84</v>
      </c>
      <c r="F38">
        <f t="shared" si="0"/>
        <v>-9</v>
      </c>
      <c r="G38" s="4">
        <f t="shared" si="1"/>
        <v>-9.6774193548387094E-2</v>
      </c>
      <c r="H38" s="1">
        <f t="shared" si="2"/>
        <v>-9000</v>
      </c>
    </row>
    <row r="39" spans="1:13" x14ac:dyDescent="0.55000000000000004">
      <c r="A39">
        <v>6</v>
      </c>
      <c r="B39" s="2">
        <v>43943</v>
      </c>
      <c r="C39">
        <v>93</v>
      </c>
      <c r="D39">
        <v>1000</v>
      </c>
      <c r="E39">
        <v>80</v>
      </c>
      <c r="F39">
        <f t="shared" si="0"/>
        <v>-13</v>
      </c>
      <c r="G39" s="4">
        <f t="shared" si="1"/>
        <v>-0.13978494623655913</v>
      </c>
      <c r="H39" s="1">
        <f t="shared" si="2"/>
        <v>-13000</v>
      </c>
    </row>
    <row r="40" spans="1:13" x14ac:dyDescent="0.55000000000000004">
      <c r="A40">
        <v>6</v>
      </c>
      <c r="B40" s="2">
        <v>43944</v>
      </c>
      <c r="C40">
        <v>93</v>
      </c>
      <c r="D40">
        <v>1000</v>
      </c>
      <c r="E40">
        <v>75</v>
      </c>
      <c r="F40">
        <f t="shared" si="0"/>
        <v>-18</v>
      </c>
      <c r="G40" s="4">
        <f t="shared" si="1"/>
        <v>-0.19354838709677419</v>
      </c>
      <c r="H40" s="1">
        <f t="shared" si="2"/>
        <v>-18000</v>
      </c>
    </row>
    <row r="41" spans="1:13" x14ac:dyDescent="0.55000000000000004">
      <c r="A41">
        <v>6</v>
      </c>
      <c r="B41" s="2">
        <v>43945</v>
      </c>
      <c r="C41">
        <v>93</v>
      </c>
      <c r="D41">
        <v>1000</v>
      </c>
      <c r="E41">
        <v>70</v>
      </c>
      <c r="F41">
        <f t="shared" si="0"/>
        <v>-23</v>
      </c>
      <c r="G41" s="4">
        <f t="shared" si="1"/>
        <v>-0.24731182795698925</v>
      </c>
      <c r="H41" s="1">
        <f t="shared" si="2"/>
        <v>-23000</v>
      </c>
    </row>
    <row r="42" spans="1:13" x14ac:dyDescent="0.55000000000000004">
      <c r="A42">
        <v>6</v>
      </c>
      <c r="B42" s="2">
        <v>43946</v>
      </c>
      <c r="C42">
        <v>93</v>
      </c>
      <c r="D42">
        <v>1000</v>
      </c>
      <c r="E42">
        <v>65</v>
      </c>
      <c r="F42">
        <f t="shared" si="0"/>
        <v>-28</v>
      </c>
      <c r="G42" s="4">
        <f t="shared" si="1"/>
        <v>-0.30107526881720431</v>
      </c>
      <c r="H42" s="1">
        <f t="shared" si="2"/>
        <v>-28000</v>
      </c>
    </row>
    <row r="43" spans="1:13" x14ac:dyDescent="0.55000000000000004">
      <c r="H43" s="1">
        <f t="shared" si="2"/>
        <v>0</v>
      </c>
    </row>
    <row r="44" spans="1:13" x14ac:dyDescent="0.55000000000000004">
      <c r="A44">
        <v>7</v>
      </c>
      <c r="B44" s="2">
        <v>43948</v>
      </c>
      <c r="C44">
        <v>96</v>
      </c>
      <c r="D44">
        <v>1000</v>
      </c>
      <c r="E44">
        <v>90</v>
      </c>
      <c r="F44">
        <f t="shared" si="0"/>
        <v>-6</v>
      </c>
      <c r="G44" s="4">
        <f t="shared" si="1"/>
        <v>-6.25E-2</v>
      </c>
      <c r="H44" s="1">
        <f t="shared" si="2"/>
        <v>-6000</v>
      </c>
      <c r="I44" s="1">
        <f xml:space="preserve"> MAX(E44:E49)</f>
        <v>420</v>
      </c>
      <c r="J44" s="1">
        <f xml:space="preserve"> (I44 *D44) - (C44 *D44)</f>
        <v>324000</v>
      </c>
      <c r="K44" s="1" t="str">
        <f xml:space="preserve"> IF(J44 &gt; 0, "Profit This Week", "Negative This Week")</f>
        <v>Profit This Week</v>
      </c>
    </row>
    <row r="45" spans="1:13" x14ac:dyDescent="0.55000000000000004">
      <c r="A45">
        <v>7</v>
      </c>
      <c r="B45" s="2">
        <v>43949</v>
      </c>
      <c r="C45">
        <v>96</v>
      </c>
      <c r="D45">
        <v>1000</v>
      </c>
      <c r="E45">
        <v>85</v>
      </c>
      <c r="F45">
        <f t="shared" si="0"/>
        <v>-11</v>
      </c>
      <c r="G45" s="4">
        <f t="shared" si="1"/>
        <v>-0.11458333333333333</v>
      </c>
      <c r="H45" s="1">
        <f t="shared" si="2"/>
        <v>-11000</v>
      </c>
    </row>
    <row r="46" spans="1:13" x14ac:dyDescent="0.55000000000000004">
      <c r="A46">
        <v>7</v>
      </c>
      <c r="B46" s="2">
        <v>43950</v>
      </c>
      <c r="C46">
        <v>96</v>
      </c>
      <c r="D46">
        <v>1000</v>
      </c>
      <c r="E46">
        <v>150</v>
      </c>
      <c r="F46">
        <f t="shared" si="0"/>
        <v>54</v>
      </c>
      <c r="G46" s="4">
        <f t="shared" si="1"/>
        <v>0.5625</v>
      </c>
      <c r="H46" s="1">
        <f t="shared" si="2"/>
        <v>54000</v>
      </c>
    </row>
    <row r="47" spans="1:13" x14ac:dyDescent="0.55000000000000004">
      <c r="A47">
        <v>7</v>
      </c>
      <c r="B47" s="2">
        <v>43951</v>
      </c>
      <c r="C47">
        <v>96</v>
      </c>
      <c r="D47">
        <v>1000</v>
      </c>
      <c r="E47">
        <v>280</v>
      </c>
      <c r="F47">
        <f t="shared" si="0"/>
        <v>184</v>
      </c>
      <c r="G47" s="4">
        <f t="shared" si="1"/>
        <v>1.9166666666666667</v>
      </c>
      <c r="H47" s="1">
        <f t="shared" si="2"/>
        <v>184000</v>
      </c>
    </row>
    <row r="48" spans="1:13" x14ac:dyDescent="0.55000000000000004">
      <c r="A48">
        <v>7</v>
      </c>
      <c r="B48" s="2">
        <v>43952</v>
      </c>
      <c r="C48">
        <v>96</v>
      </c>
      <c r="D48">
        <v>1000</v>
      </c>
      <c r="E48">
        <v>420</v>
      </c>
      <c r="F48">
        <f t="shared" si="0"/>
        <v>324</v>
      </c>
      <c r="G48" s="4">
        <f t="shared" si="1"/>
        <v>3.375</v>
      </c>
      <c r="H48" s="1">
        <f t="shared" si="2"/>
        <v>324000</v>
      </c>
    </row>
    <row r="49" spans="1:11" x14ac:dyDescent="0.55000000000000004">
      <c r="A49">
        <v>7</v>
      </c>
      <c r="B49" s="2">
        <v>43953</v>
      </c>
      <c r="C49">
        <v>96</v>
      </c>
      <c r="D49">
        <v>1000</v>
      </c>
      <c r="E49">
        <v>200</v>
      </c>
      <c r="F49">
        <f t="shared" si="0"/>
        <v>104</v>
      </c>
      <c r="G49" s="4">
        <f t="shared" si="1"/>
        <v>1.0833333333333333</v>
      </c>
      <c r="H49" s="1">
        <f t="shared" si="2"/>
        <v>104000</v>
      </c>
    </row>
    <row r="50" spans="1:11" x14ac:dyDescent="0.55000000000000004">
      <c r="H50" s="1">
        <f t="shared" si="2"/>
        <v>0</v>
      </c>
    </row>
    <row r="51" spans="1:11" x14ac:dyDescent="0.55000000000000004">
      <c r="A51">
        <v>8</v>
      </c>
      <c r="B51" s="2">
        <v>43955</v>
      </c>
      <c r="C51">
        <v>98</v>
      </c>
      <c r="D51">
        <v>1000</v>
      </c>
      <c r="E51">
        <v>95</v>
      </c>
      <c r="F51">
        <f t="shared" si="0"/>
        <v>-3</v>
      </c>
      <c r="G51" s="4">
        <f t="shared" si="1"/>
        <v>-3.0612244897959183E-2</v>
      </c>
      <c r="H51" s="1">
        <f t="shared" si="2"/>
        <v>-3000</v>
      </c>
      <c r="I51" s="1">
        <f xml:space="preserve"> MAX(E51:E56)</f>
        <v>100</v>
      </c>
      <c r="J51" s="1">
        <f xml:space="preserve"> (I51 *D51) - (C51 *D51)</f>
        <v>2000</v>
      </c>
      <c r="K51" s="1" t="str">
        <f xml:space="preserve"> IF(J51 &gt; 0, "Profit This Week", "Negative This Week")</f>
        <v>Profit This Week</v>
      </c>
    </row>
    <row r="52" spans="1:11" x14ac:dyDescent="0.55000000000000004">
      <c r="A52">
        <v>8</v>
      </c>
      <c r="B52" s="2">
        <v>43956</v>
      </c>
      <c r="C52">
        <v>98</v>
      </c>
      <c r="D52">
        <v>1000</v>
      </c>
      <c r="E52">
        <v>100</v>
      </c>
      <c r="F52">
        <f t="shared" si="0"/>
        <v>2</v>
      </c>
      <c r="G52" s="4">
        <f t="shared" si="1"/>
        <v>2.0408163265306121E-2</v>
      </c>
      <c r="H52" s="1">
        <f t="shared" si="2"/>
        <v>2000</v>
      </c>
    </row>
    <row r="53" spans="1:11" x14ac:dyDescent="0.55000000000000004">
      <c r="A53">
        <v>8</v>
      </c>
      <c r="B53" s="2">
        <v>43957</v>
      </c>
      <c r="C53">
        <v>98</v>
      </c>
      <c r="D53">
        <v>1000</v>
      </c>
      <c r="E53">
        <v>90</v>
      </c>
      <c r="F53">
        <f t="shared" si="0"/>
        <v>-8</v>
      </c>
      <c r="G53" s="4">
        <f t="shared" si="1"/>
        <v>-8.1632653061224483E-2</v>
      </c>
      <c r="H53" s="1">
        <f t="shared" si="2"/>
        <v>-8000</v>
      </c>
    </row>
    <row r="54" spans="1:11" x14ac:dyDescent="0.55000000000000004">
      <c r="A54">
        <v>8</v>
      </c>
      <c r="B54" s="2">
        <v>43958</v>
      </c>
      <c r="C54">
        <v>98</v>
      </c>
      <c r="D54">
        <v>1000</v>
      </c>
      <c r="E54">
        <v>85</v>
      </c>
      <c r="F54">
        <f t="shared" si="0"/>
        <v>-13</v>
      </c>
      <c r="G54" s="4">
        <f t="shared" si="1"/>
        <v>-0.1326530612244898</v>
      </c>
      <c r="H54" s="1">
        <f t="shared" si="2"/>
        <v>-13000</v>
      </c>
    </row>
    <row r="55" spans="1:11" x14ac:dyDescent="0.55000000000000004">
      <c r="A55">
        <v>8</v>
      </c>
      <c r="B55" s="2">
        <v>43959</v>
      </c>
      <c r="C55">
        <v>98</v>
      </c>
      <c r="D55">
        <v>1000</v>
      </c>
      <c r="E55">
        <v>80</v>
      </c>
      <c r="F55">
        <f t="shared" si="0"/>
        <v>-18</v>
      </c>
      <c r="G55" s="4">
        <f t="shared" si="1"/>
        <v>-0.18367346938775511</v>
      </c>
      <c r="H55" s="1">
        <f t="shared" si="2"/>
        <v>-18000</v>
      </c>
    </row>
    <row r="56" spans="1:11" x14ac:dyDescent="0.55000000000000004">
      <c r="A56">
        <v>8</v>
      </c>
      <c r="B56" s="2">
        <v>43960</v>
      </c>
      <c r="C56">
        <v>98</v>
      </c>
      <c r="D56">
        <v>1000</v>
      </c>
      <c r="E56">
        <v>75</v>
      </c>
      <c r="F56">
        <f t="shared" si="0"/>
        <v>-23</v>
      </c>
      <c r="G56" s="4">
        <f t="shared" si="1"/>
        <v>-0.23469387755102042</v>
      </c>
      <c r="H56" s="1">
        <f t="shared" si="2"/>
        <v>-23000</v>
      </c>
    </row>
    <row r="57" spans="1:11" x14ac:dyDescent="0.55000000000000004">
      <c r="H57" s="1">
        <f t="shared" si="2"/>
        <v>0</v>
      </c>
    </row>
    <row r="58" spans="1:11" x14ac:dyDescent="0.55000000000000004">
      <c r="A58">
        <v>9</v>
      </c>
      <c r="B58" s="2">
        <v>43962</v>
      </c>
      <c r="C58">
        <v>91</v>
      </c>
      <c r="D58">
        <v>1000</v>
      </c>
      <c r="E58">
        <v>88</v>
      </c>
      <c r="F58">
        <f t="shared" si="0"/>
        <v>-3</v>
      </c>
      <c r="G58" s="4">
        <f t="shared" si="1"/>
        <v>-3.2967032967032968E-2</v>
      </c>
      <c r="H58" s="1">
        <f t="shared" si="2"/>
        <v>-3000</v>
      </c>
      <c r="I58" s="1">
        <f xml:space="preserve"> MAX(E58:E63)</f>
        <v>500</v>
      </c>
      <c r="J58" s="1">
        <f xml:space="preserve"> (I58 *D58) - (C58 *D58)</f>
        <v>409000</v>
      </c>
      <c r="K58" s="1" t="str">
        <f xml:space="preserve"> IF(J58 &gt; 0, "Profit This Week", "Negative This Week")</f>
        <v>Profit This Week</v>
      </c>
    </row>
    <row r="59" spans="1:11" x14ac:dyDescent="0.55000000000000004">
      <c r="A59">
        <v>9</v>
      </c>
      <c r="B59" s="2">
        <v>43963</v>
      </c>
      <c r="C59">
        <v>91</v>
      </c>
      <c r="D59">
        <v>1000</v>
      </c>
      <c r="E59">
        <v>84</v>
      </c>
      <c r="F59">
        <f t="shared" si="0"/>
        <v>-7</v>
      </c>
      <c r="G59" s="4">
        <f t="shared" si="1"/>
        <v>-7.6923076923076927E-2</v>
      </c>
      <c r="H59" s="1">
        <f t="shared" si="2"/>
        <v>-7000</v>
      </c>
    </row>
    <row r="60" spans="1:11" x14ac:dyDescent="0.55000000000000004">
      <c r="A60">
        <v>9</v>
      </c>
      <c r="B60" s="2">
        <v>43964</v>
      </c>
      <c r="C60">
        <v>91</v>
      </c>
      <c r="D60">
        <v>1000</v>
      </c>
      <c r="E60">
        <v>80</v>
      </c>
      <c r="F60">
        <f t="shared" si="0"/>
        <v>-11</v>
      </c>
      <c r="G60" s="4">
        <f t="shared" si="1"/>
        <v>-0.12087912087912088</v>
      </c>
      <c r="H60" s="1">
        <f t="shared" si="2"/>
        <v>-11000</v>
      </c>
    </row>
    <row r="61" spans="1:11" x14ac:dyDescent="0.55000000000000004">
      <c r="A61">
        <v>9</v>
      </c>
      <c r="B61" s="2">
        <v>43965</v>
      </c>
      <c r="C61">
        <v>91</v>
      </c>
      <c r="D61">
        <v>1000</v>
      </c>
      <c r="E61">
        <v>140</v>
      </c>
      <c r="F61">
        <f t="shared" si="0"/>
        <v>49</v>
      </c>
      <c r="G61" s="4">
        <f t="shared" si="1"/>
        <v>0.53846153846153844</v>
      </c>
      <c r="H61" s="1">
        <f t="shared" si="2"/>
        <v>49000</v>
      </c>
    </row>
    <row r="62" spans="1:11" x14ac:dyDescent="0.55000000000000004">
      <c r="A62">
        <v>9</v>
      </c>
      <c r="B62" s="2">
        <v>43966</v>
      </c>
      <c r="C62">
        <v>91</v>
      </c>
      <c r="D62">
        <v>1000</v>
      </c>
      <c r="E62">
        <v>320</v>
      </c>
      <c r="F62">
        <f t="shared" si="0"/>
        <v>229</v>
      </c>
      <c r="G62" s="4">
        <f t="shared" si="1"/>
        <v>2.5164835164835164</v>
      </c>
      <c r="H62" s="1">
        <f t="shared" si="2"/>
        <v>229000</v>
      </c>
    </row>
    <row r="63" spans="1:11" x14ac:dyDescent="0.55000000000000004">
      <c r="A63">
        <v>9</v>
      </c>
      <c r="B63" s="2">
        <v>43967</v>
      </c>
      <c r="C63">
        <v>91</v>
      </c>
      <c r="D63">
        <v>1000</v>
      </c>
      <c r="E63">
        <v>500</v>
      </c>
      <c r="F63">
        <f t="shared" si="0"/>
        <v>409</v>
      </c>
      <c r="G63" s="4">
        <f t="shared" si="1"/>
        <v>4.4945054945054945</v>
      </c>
      <c r="H63" s="1">
        <f t="shared" si="2"/>
        <v>409000</v>
      </c>
    </row>
    <row r="64" spans="1:11" x14ac:dyDescent="0.55000000000000004">
      <c r="H64" s="1">
        <f t="shared" si="2"/>
        <v>0</v>
      </c>
    </row>
    <row r="65" spans="1:11" x14ac:dyDescent="0.55000000000000004">
      <c r="A65">
        <v>10</v>
      </c>
      <c r="B65" s="2">
        <v>43969</v>
      </c>
      <c r="C65">
        <v>94</v>
      </c>
      <c r="D65">
        <v>1000</v>
      </c>
      <c r="E65">
        <v>90</v>
      </c>
      <c r="F65">
        <f t="shared" si="0"/>
        <v>-4</v>
      </c>
      <c r="G65" s="4">
        <f t="shared" si="1"/>
        <v>-4.2553191489361701E-2</v>
      </c>
      <c r="H65" s="1">
        <f t="shared" si="2"/>
        <v>-4000</v>
      </c>
      <c r="I65" s="1">
        <f xml:space="preserve"> MAX(E65:E70)</f>
        <v>90</v>
      </c>
      <c r="J65" s="1">
        <f xml:space="preserve"> (I65 *D65) - (C65 *D65)</f>
        <v>-4000</v>
      </c>
      <c r="K65" s="1" t="str">
        <f xml:space="preserve"> IF(J65 &gt; 0, "Profit This Week", "Negative This Week")</f>
        <v>Negative This Week</v>
      </c>
    </row>
    <row r="66" spans="1:11" x14ac:dyDescent="0.55000000000000004">
      <c r="A66">
        <v>10</v>
      </c>
      <c r="B66" s="2">
        <v>43970</v>
      </c>
      <c r="C66">
        <v>94</v>
      </c>
      <c r="D66">
        <v>1000</v>
      </c>
      <c r="E66">
        <v>88</v>
      </c>
      <c r="F66">
        <f t="shared" si="0"/>
        <v>-6</v>
      </c>
      <c r="G66" s="4">
        <f t="shared" si="1"/>
        <v>-6.3829787234042548E-2</v>
      </c>
      <c r="H66" s="1">
        <f t="shared" si="2"/>
        <v>-6000</v>
      </c>
    </row>
    <row r="67" spans="1:11" x14ac:dyDescent="0.55000000000000004">
      <c r="A67">
        <v>10</v>
      </c>
      <c r="B67" s="2">
        <v>43971</v>
      </c>
      <c r="C67">
        <v>94</v>
      </c>
      <c r="D67">
        <v>1000</v>
      </c>
      <c r="E67">
        <v>85</v>
      </c>
      <c r="F67">
        <f t="shared" ref="F67:F84" si="3" xml:space="preserve"> E67 - C67</f>
        <v>-9</v>
      </c>
      <c r="G67" s="4">
        <f t="shared" ref="G67:G84" si="4" xml:space="preserve"> (E67-C67)/(C67)</f>
        <v>-9.5744680851063829E-2</v>
      </c>
      <c r="H67" s="1">
        <f t="shared" ref="H67:H84" si="5" xml:space="preserve"> E67 * D67 - C67 * D67</f>
        <v>-9000</v>
      </c>
    </row>
    <row r="68" spans="1:11" x14ac:dyDescent="0.55000000000000004">
      <c r="A68">
        <v>10</v>
      </c>
      <c r="B68" s="2">
        <v>43972</v>
      </c>
      <c r="C68">
        <v>94</v>
      </c>
      <c r="D68">
        <v>1000</v>
      </c>
      <c r="E68">
        <v>82</v>
      </c>
      <c r="F68">
        <f t="shared" si="3"/>
        <v>-12</v>
      </c>
      <c r="G68" s="4">
        <f t="shared" si="4"/>
        <v>-0.1276595744680851</v>
      </c>
      <c r="H68" s="1">
        <f t="shared" si="5"/>
        <v>-12000</v>
      </c>
    </row>
    <row r="69" spans="1:11" x14ac:dyDescent="0.55000000000000004">
      <c r="A69">
        <v>10</v>
      </c>
      <c r="B69" s="2">
        <v>43973</v>
      </c>
      <c r="C69">
        <v>94</v>
      </c>
      <c r="D69">
        <v>1000</v>
      </c>
      <c r="E69">
        <v>78</v>
      </c>
      <c r="F69">
        <f t="shared" si="3"/>
        <v>-16</v>
      </c>
      <c r="G69" s="4">
        <f t="shared" si="4"/>
        <v>-0.1702127659574468</v>
      </c>
      <c r="H69" s="1">
        <f t="shared" si="5"/>
        <v>-16000</v>
      </c>
    </row>
    <row r="70" spans="1:11" x14ac:dyDescent="0.55000000000000004">
      <c r="A70">
        <v>10</v>
      </c>
      <c r="B70" s="2">
        <v>43974</v>
      </c>
      <c r="C70">
        <v>94</v>
      </c>
      <c r="D70">
        <v>1000</v>
      </c>
      <c r="E70">
        <v>70</v>
      </c>
      <c r="F70">
        <f t="shared" si="3"/>
        <v>-24</v>
      </c>
      <c r="G70" s="4">
        <f t="shared" si="4"/>
        <v>-0.25531914893617019</v>
      </c>
      <c r="H70" s="1">
        <f t="shared" si="5"/>
        <v>-24000</v>
      </c>
    </row>
    <row r="71" spans="1:11" x14ac:dyDescent="0.55000000000000004">
      <c r="H71" s="1">
        <f t="shared" si="5"/>
        <v>0</v>
      </c>
    </row>
    <row r="72" spans="1:11" x14ac:dyDescent="0.55000000000000004">
      <c r="A72">
        <v>11</v>
      </c>
      <c r="B72" s="2">
        <v>43976</v>
      </c>
      <c r="C72">
        <v>99</v>
      </c>
      <c r="D72">
        <v>1000</v>
      </c>
      <c r="E72">
        <v>100</v>
      </c>
      <c r="F72">
        <f t="shared" si="3"/>
        <v>1</v>
      </c>
      <c r="G72" s="4">
        <f t="shared" si="4"/>
        <v>1.0101010101010102E-2</v>
      </c>
      <c r="H72" s="1">
        <f t="shared" si="5"/>
        <v>1000</v>
      </c>
      <c r="I72" s="1">
        <f xml:space="preserve"> MAX(E72:E77)</f>
        <v>480</v>
      </c>
      <c r="J72" s="1">
        <f xml:space="preserve"> (I72 *D72) - (C72 *D72)</f>
        <v>381000</v>
      </c>
      <c r="K72" s="1" t="str">
        <f xml:space="preserve"> IF(J72 &gt; 0, "Profit This Week", "Negative This Week")</f>
        <v>Profit This Week</v>
      </c>
    </row>
    <row r="73" spans="1:11" x14ac:dyDescent="0.55000000000000004">
      <c r="A73">
        <v>11</v>
      </c>
      <c r="B73" s="2">
        <v>43977</v>
      </c>
      <c r="C73">
        <v>99</v>
      </c>
      <c r="D73">
        <v>1000</v>
      </c>
      <c r="E73">
        <v>120</v>
      </c>
      <c r="F73">
        <f t="shared" si="3"/>
        <v>21</v>
      </c>
      <c r="G73" s="4">
        <f t="shared" si="4"/>
        <v>0.21212121212121213</v>
      </c>
      <c r="H73" s="1">
        <f t="shared" si="5"/>
        <v>21000</v>
      </c>
    </row>
    <row r="74" spans="1:11" x14ac:dyDescent="0.55000000000000004">
      <c r="A74">
        <v>11</v>
      </c>
      <c r="B74" s="2">
        <v>43978</v>
      </c>
      <c r="C74">
        <v>99</v>
      </c>
      <c r="D74">
        <v>1000</v>
      </c>
      <c r="E74">
        <v>150</v>
      </c>
      <c r="F74">
        <f t="shared" si="3"/>
        <v>51</v>
      </c>
      <c r="G74" s="4">
        <f t="shared" si="4"/>
        <v>0.51515151515151514</v>
      </c>
      <c r="H74" s="1">
        <f t="shared" si="5"/>
        <v>51000</v>
      </c>
    </row>
    <row r="75" spans="1:11" x14ac:dyDescent="0.55000000000000004">
      <c r="A75">
        <v>11</v>
      </c>
      <c r="B75" s="2">
        <v>43979</v>
      </c>
      <c r="C75">
        <v>99</v>
      </c>
      <c r="D75">
        <v>1000</v>
      </c>
      <c r="E75">
        <v>300</v>
      </c>
      <c r="F75">
        <f t="shared" si="3"/>
        <v>201</v>
      </c>
      <c r="G75" s="4">
        <f t="shared" si="4"/>
        <v>2.0303030303030303</v>
      </c>
      <c r="H75" s="1">
        <f t="shared" si="5"/>
        <v>201000</v>
      </c>
    </row>
    <row r="76" spans="1:11" x14ac:dyDescent="0.55000000000000004">
      <c r="A76">
        <v>11</v>
      </c>
      <c r="B76" s="2">
        <v>43980</v>
      </c>
      <c r="C76">
        <v>99</v>
      </c>
      <c r="D76">
        <v>1000</v>
      </c>
      <c r="E76">
        <v>480</v>
      </c>
      <c r="F76">
        <f t="shared" si="3"/>
        <v>381</v>
      </c>
      <c r="G76" s="4">
        <f t="shared" si="4"/>
        <v>3.8484848484848486</v>
      </c>
      <c r="H76" s="1">
        <f t="shared" si="5"/>
        <v>381000</v>
      </c>
    </row>
    <row r="77" spans="1:11" x14ac:dyDescent="0.55000000000000004">
      <c r="A77">
        <v>11</v>
      </c>
      <c r="B77" s="2">
        <v>43981</v>
      </c>
      <c r="C77">
        <v>99</v>
      </c>
      <c r="D77">
        <v>1000</v>
      </c>
      <c r="E77">
        <v>250</v>
      </c>
      <c r="F77">
        <f t="shared" si="3"/>
        <v>151</v>
      </c>
      <c r="G77" s="4">
        <f t="shared" si="4"/>
        <v>1.5252525252525253</v>
      </c>
      <c r="H77" s="1">
        <f t="shared" si="5"/>
        <v>151000</v>
      </c>
    </row>
    <row r="78" spans="1:11" x14ac:dyDescent="0.55000000000000004">
      <c r="H78" s="1">
        <f t="shared" si="5"/>
        <v>0</v>
      </c>
    </row>
    <row r="79" spans="1:11" x14ac:dyDescent="0.55000000000000004">
      <c r="A79">
        <v>12</v>
      </c>
      <c r="B79" s="2">
        <v>43983</v>
      </c>
      <c r="C79">
        <v>93</v>
      </c>
      <c r="D79">
        <v>1000</v>
      </c>
      <c r="E79">
        <v>90</v>
      </c>
      <c r="F79">
        <f t="shared" si="3"/>
        <v>-3</v>
      </c>
      <c r="G79" s="4">
        <f t="shared" si="4"/>
        <v>-3.2258064516129031E-2</v>
      </c>
      <c r="H79" s="1">
        <f t="shared" si="5"/>
        <v>-3000</v>
      </c>
      <c r="I79" s="1">
        <f xml:space="preserve"> MAX(E79:E84)</f>
        <v>90</v>
      </c>
      <c r="J79" s="1">
        <f xml:space="preserve"> (I79 *D79) - (C79 *D79)</f>
        <v>-3000</v>
      </c>
      <c r="K79" s="1" t="str">
        <f xml:space="preserve"> IF(J79 &gt; 0, "Profit This Week", "Negative This Week")</f>
        <v>Negative This Week</v>
      </c>
    </row>
    <row r="80" spans="1:11" x14ac:dyDescent="0.55000000000000004">
      <c r="A80">
        <v>12</v>
      </c>
      <c r="B80" s="2">
        <v>43984</v>
      </c>
      <c r="C80">
        <v>93</v>
      </c>
      <c r="D80">
        <v>1000</v>
      </c>
      <c r="E80">
        <v>85</v>
      </c>
      <c r="F80">
        <f t="shared" si="3"/>
        <v>-8</v>
      </c>
      <c r="G80" s="4">
        <f t="shared" si="4"/>
        <v>-8.6021505376344093E-2</v>
      </c>
      <c r="H80" s="1">
        <f t="shared" si="5"/>
        <v>-8000</v>
      </c>
    </row>
    <row r="81" spans="1:8" x14ac:dyDescent="0.55000000000000004">
      <c r="A81">
        <v>12</v>
      </c>
      <c r="B81" s="2">
        <v>43985</v>
      </c>
      <c r="C81">
        <v>93</v>
      </c>
      <c r="D81">
        <v>1000</v>
      </c>
      <c r="E81">
        <v>80</v>
      </c>
      <c r="F81">
        <f t="shared" si="3"/>
        <v>-13</v>
      </c>
      <c r="G81" s="4">
        <f t="shared" si="4"/>
        <v>-0.13978494623655913</v>
      </c>
      <c r="H81" s="1">
        <f t="shared" si="5"/>
        <v>-13000</v>
      </c>
    </row>
    <row r="82" spans="1:8" x14ac:dyDescent="0.55000000000000004">
      <c r="A82">
        <v>12</v>
      </c>
      <c r="B82" s="2">
        <v>43986</v>
      </c>
      <c r="C82">
        <v>93</v>
      </c>
      <c r="D82">
        <v>1000</v>
      </c>
      <c r="E82">
        <v>75</v>
      </c>
      <c r="F82">
        <f t="shared" si="3"/>
        <v>-18</v>
      </c>
      <c r="G82" s="4">
        <f t="shared" si="4"/>
        <v>-0.19354838709677419</v>
      </c>
      <c r="H82" s="1">
        <f t="shared" si="5"/>
        <v>-18000</v>
      </c>
    </row>
    <row r="83" spans="1:8" x14ac:dyDescent="0.55000000000000004">
      <c r="A83">
        <v>12</v>
      </c>
      <c r="B83" s="2">
        <v>43987</v>
      </c>
      <c r="C83">
        <v>93</v>
      </c>
      <c r="D83">
        <v>1000</v>
      </c>
      <c r="E83">
        <v>70</v>
      </c>
      <c r="F83">
        <f t="shared" si="3"/>
        <v>-23</v>
      </c>
      <c r="G83" s="4">
        <f t="shared" si="4"/>
        <v>-0.24731182795698925</v>
      </c>
      <c r="H83" s="1">
        <f t="shared" si="5"/>
        <v>-23000</v>
      </c>
    </row>
    <row r="84" spans="1:8" x14ac:dyDescent="0.55000000000000004">
      <c r="A84">
        <v>12</v>
      </c>
      <c r="B84" s="2">
        <v>43988</v>
      </c>
      <c r="C84">
        <v>93</v>
      </c>
      <c r="D84">
        <v>1000</v>
      </c>
      <c r="E84">
        <v>65</v>
      </c>
      <c r="F84">
        <f t="shared" si="3"/>
        <v>-28</v>
      </c>
      <c r="G84" s="4">
        <f t="shared" si="4"/>
        <v>-0.30107526881720431</v>
      </c>
      <c r="H84" s="1">
        <f t="shared" si="5"/>
        <v>-28000</v>
      </c>
    </row>
  </sheetData>
  <conditionalFormatting sqref="G1:G1048576">
    <cfRule type="cellIs" dxfId="0" priority="1" operator="greaterThan">
      <formula>0.25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F73D1-5578-4B04-BD5D-4019959D94FF}">
  <dimension ref="A1:V84"/>
  <sheetViews>
    <sheetView topLeftCell="A72" workbookViewId="0">
      <selection activeCell="V28" sqref="V28"/>
    </sheetView>
  </sheetViews>
  <sheetFormatPr defaultRowHeight="14.4" x14ac:dyDescent="0.55000000000000004"/>
  <cols>
    <col min="1" max="1" width="12" customWidth="1"/>
    <col min="2" max="2" width="16.734375" customWidth="1"/>
    <col min="3" max="3" width="15.68359375" customWidth="1"/>
    <col min="4" max="4" width="17.15625" customWidth="1"/>
    <col min="5" max="5" width="15.578125" customWidth="1"/>
    <col min="6" max="6" width="10.26171875" customWidth="1"/>
    <col min="7" max="7" width="16.47265625" style="1" customWidth="1"/>
    <col min="8" max="8" width="20.578125" style="1" customWidth="1"/>
    <col min="9" max="9" width="17.5234375" style="1" customWidth="1"/>
    <col min="10" max="10" width="18.47265625" style="1" customWidth="1"/>
    <col min="11" max="11" width="18.734375" customWidth="1"/>
    <col min="12" max="12" width="20.9453125" customWidth="1"/>
    <col min="13" max="13" width="17.7890625" customWidth="1"/>
    <col min="14" max="14" width="14.62890625" customWidth="1"/>
    <col min="15" max="15" width="16.89453125" customWidth="1"/>
    <col min="16" max="16" width="29.734375" customWidth="1"/>
    <col min="17" max="17" width="21.7890625" customWidth="1"/>
    <col min="18" max="18" width="22.7890625" customWidth="1"/>
    <col min="19" max="26" width="33.47265625" customWidth="1"/>
  </cols>
  <sheetData>
    <row r="1" spans="1:22" x14ac:dyDescent="0.55000000000000004">
      <c r="A1" t="s">
        <v>1</v>
      </c>
      <c r="B1" t="s">
        <v>0</v>
      </c>
      <c r="C1" t="s">
        <v>29</v>
      </c>
      <c r="D1" t="s">
        <v>30</v>
      </c>
      <c r="E1" t="s">
        <v>31</v>
      </c>
      <c r="F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t="s">
        <v>37</v>
      </c>
      <c r="L1" t="s">
        <v>38</v>
      </c>
      <c r="M1" s="1" t="s">
        <v>39</v>
      </c>
      <c r="N1" t="s">
        <v>120</v>
      </c>
      <c r="O1" t="s">
        <v>121</v>
      </c>
      <c r="P1" t="s">
        <v>127</v>
      </c>
      <c r="Q1" t="s">
        <v>128</v>
      </c>
      <c r="R1" t="s">
        <v>129</v>
      </c>
      <c r="S1" t="s">
        <v>130</v>
      </c>
      <c r="T1" t="s">
        <v>131</v>
      </c>
      <c r="U1" t="s">
        <v>132</v>
      </c>
      <c r="V1" t="s">
        <v>133</v>
      </c>
    </row>
    <row r="2" spans="1:22" x14ac:dyDescent="0.55000000000000004">
      <c r="A2">
        <v>1</v>
      </c>
      <c r="B2" s="2">
        <v>43906</v>
      </c>
      <c r="C2">
        <v>16</v>
      </c>
      <c r="D2">
        <v>4</v>
      </c>
      <c r="E2">
        <v>1</v>
      </c>
      <c r="F2">
        <v>0</v>
      </c>
      <c r="G2" s="1">
        <v>400</v>
      </c>
      <c r="H2" s="1">
        <v>1200</v>
      </c>
      <c r="I2" s="1">
        <v>4000</v>
      </c>
      <c r="J2" s="1">
        <v>12000</v>
      </c>
      <c r="K2" s="3">
        <f xml:space="preserve"> C2 * G2 + D2 * H2 + E2 * I2 + F2 * J2</f>
        <v>15200</v>
      </c>
      <c r="L2" s="3">
        <f>SUM(K2:K7)</f>
        <v>96400</v>
      </c>
      <c r="M2" t="s">
        <v>40</v>
      </c>
      <c r="N2">
        <v>900</v>
      </c>
      <c r="O2" t="s">
        <v>122</v>
      </c>
      <c r="P2" t="str">
        <f xml:space="preserve"> M2 &amp; "_" &amp; N2 &amp; "_" &amp; O2</f>
        <v>Bitterling_900_Low</v>
      </c>
      <c r="Q2" t="str">
        <f>LEFT(RIGHT(P2,LEN(P2)-FIND("_",P2)),FIND("_",RIGHT(P2,LEN(P2)-FIND("_",P2)))-1)</f>
        <v>900</v>
      </c>
      <c r="R2" t="str">
        <f xml:space="preserve"> MID(P2, FIND("_", P2)+1, FIND("_", P2, FIND("_", P2)+1) - FIND("_", P2)-1)</f>
        <v>900</v>
      </c>
      <c r="S2" t="str">
        <f>RIGHT(RIGHT(P2,LEN(P2)-FIND("_",P2)),LEN(RIGHT(P2,LEN(P2)-FIND("_",P2)))-FIND("_",RIGHT(P2,LEN(P2)-FIND("_",P2))))</f>
        <v>Low</v>
      </c>
      <c r="T2" t="str">
        <f>RIGHT(P2,LEN(P2)-FIND("_",P2,FIND("_",P2)+1))</f>
        <v>Low</v>
      </c>
      <c r="U2" t="str">
        <f>MID(P2,FIND("_",P2,FIND("_",P2)+1)+1,LEN(P2)-FIND("_",P2,FIND("_",P2)+1))</f>
        <v>Low</v>
      </c>
    </row>
    <row r="3" spans="1:22" x14ac:dyDescent="0.55000000000000004">
      <c r="A3">
        <v>1</v>
      </c>
      <c r="B3" s="2">
        <v>43907</v>
      </c>
      <c r="C3">
        <v>15</v>
      </c>
      <c r="D3">
        <v>5</v>
      </c>
      <c r="E3">
        <v>1</v>
      </c>
      <c r="F3">
        <v>0</v>
      </c>
      <c r="G3" s="1">
        <v>400</v>
      </c>
      <c r="H3" s="1">
        <v>1200</v>
      </c>
      <c r="I3" s="1">
        <v>4000</v>
      </c>
      <c r="J3" s="1">
        <v>12000</v>
      </c>
      <c r="K3" s="3">
        <f t="shared" ref="K3:K66" si="0" xml:space="preserve"> C3 * G3 + D3 * H3 + E3 * I3 + F3 * J3</f>
        <v>16000</v>
      </c>
      <c r="M3" t="s">
        <v>41</v>
      </c>
      <c r="N3">
        <v>200</v>
      </c>
      <c r="O3" t="s">
        <v>122</v>
      </c>
      <c r="P3" t="str">
        <f t="shared" ref="P3:P66" si="1" xml:space="preserve"> M3 &amp; "_" &amp; N3 &amp; "_" &amp; O3</f>
        <v>Pale chub_200_Low</v>
      </c>
      <c r="Q3" t="str">
        <f t="shared" ref="Q3:Q66" si="2">LEFT(RIGHT(P3,LEN(P3)-FIND("_",P3)),FIND("_",RIGHT(P3,LEN(P3)-FIND("_",P3)))-1)</f>
        <v>200</v>
      </c>
      <c r="R3" t="str">
        <f t="shared" ref="R3:R66" si="3" xml:space="preserve"> MID(P3, FIND("_", P3)+1, FIND("_", P3, FIND("_", P3)+1) - FIND("_", P3)-1)</f>
        <v>200</v>
      </c>
      <c r="S3" t="str">
        <f t="shared" ref="S3:S66" si="4">RIGHT(RIGHT(P3,LEN(P3)-FIND("_",P3)),LEN(RIGHT(P3,LEN(P3)-FIND("_",P3)))-FIND("_",RIGHT(P3,LEN(P3)-FIND("_",P3))))</f>
        <v>Low</v>
      </c>
      <c r="T3" t="str">
        <f t="shared" ref="T3:T66" si="5">RIGHT(P3,LEN(P3)-FIND("_",P3,FIND("_",P3)+1))</f>
        <v>Low</v>
      </c>
      <c r="U3" t="str">
        <f t="shared" ref="U3:U66" si="6">MID(P3,FIND("_",P3,FIND("_",P3)+1)+1,LEN(P3)-FIND("_",P3,FIND("_",P3)+1))</f>
        <v>Low</v>
      </c>
      <c r="V3" t="s">
        <v>134</v>
      </c>
    </row>
    <row r="4" spans="1:22" x14ac:dyDescent="0.55000000000000004">
      <c r="A4">
        <v>1</v>
      </c>
      <c r="B4" s="2">
        <v>43908</v>
      </c>
      <c r="C4">
        <v>17</v>
      </c>
      <c r="D4">
        <v>3</v>
      </c>
      <c r="E4">
        <v>1</v>
      </c>
      <c r="F4">
        <v>0</v>
      </c>
      <c r="G4" s="1">
        <v>400</v>
      </c>
      <c r="H4" s="1">
        <v>1200</v>
      </c>
      <c r="I4" s="1">
        <v>4000</v>
      </c>
      <c r="J4" s="1">
        <v>12000</v>
      </c>
      <c r="K4" s="3">
        <f t="shared" si="0"/>
        <v>14400</v>
      </c>
      <c r="M4" t="s">
        <v>42</v>
      </c>
      <c r="N4">
        <v>160</v>
      </c>
      <c r="O4" t="s">
        <v>122</v>
      </c>
      <c r="P4" t="str">
        <f t="shared" si="1"/>
        <v>Crucian carp_160_Low</v>
      </c>
      <c r="Q4" t="str">
        <f t="shared" si="2"/>
        <v>160</v>
      </c>
      <c r="R4" t="str">
        <f t="shared" si="3"/>
        <v>160</v>
      </c>
      <c r="S4" t="str">
        <f t="shared" si="4"/>
        <v>Low</v>
      </c>
      <c r="T4" t="str">
        <f t="shared" si="5"/>
        <v>Low</v>
      </c>
      <c r="U4" t="str">
        <f t="shared" si="6"/>
        <v>Low</v>
      </c>
      <c r="V4" t="str">
        <f xml:space="preserve"> LEFT(V1, FIND("_", V1)-1)</f>
        <v>Owen</v>
      </c>
    </row>
    <row r="5" spans="1:22" x14ac:dyDescent="0.55000000000000004">
      <c r="A5">
        <v>1</v>
      </c>
      <c r="B5" s="2">
        <v>43909</v>
      </c>
      <c r="C5">
        <v>14</v>
      </c>
      <c r="D5">
        <v>6</v>
      </c>
      <c r="E5">
        <v>1</v>
      </c>
      <c r="F5">
        <v>0</v>
      </c>
      <c r="G5" s="1">
        <v>400</v>
      </c>
      <c r="H5" s="1">
        <v>1200</v>
      </c>
      <c r="I5" s="1">
        <v>4000</v>
      </c>
      <c r="J5" s="1">
        <v>12000</v>
      </c>
      <c r="K5" s="3">
        <f t="shared" si="0"/>
        <v>16800</v>
      </c>
      <c r="M5" t="s">
        <v>43</v>
      </c>
      <c r="N5">
        <v>240</v>
      </c>
      <c r="O5" t="s">
        <v>122</v>
      </c>
      <c r="P5" t="str">
        <f t="shared" si="1"/>
        <v>Dace_240_Low</v>
      </c>
      <c r="Q5" t="str">
        <f t="shared" si="2"/>
        <v>240</v>
      </c>
      <c r="R5" t="str">
        <f t="shared" si="3"/>
        <v>240</v>
      </c>
      <c r="S5" t="str">
        <f t="shared" si="4"/>
        <v>Low</v>
      </c>
      <c r="T5" t="str">
        <f t="shared" si="5"/>
        <v>Low</v>
      </c>
      <c r="U5" t="str">
        <f t="shared" si="6"/>
        <v>Low</v>
      </c>
    </row>
    <row r="6" spans="1:22" x14ac:dyDescent="0.55000000000000004">
      <c r="A6">
        <v>1</v>
      </c>
      <c r="B6" s="2">
        <v>43910</v>
      </c>
      <c r="C6">
        <v>16</v>
      </c>
      <c r="D6">
        <v>4</v>
      </c>
      <c r="E6">
        <v>2</v>
      </c>
      <c r="F6">
        <v>0</v>
      </c>
      <c r="G6" s="1">
        <v>400</v>
      </c>
      <c r="H6" s="1">
        <v>1200</v>
      </c>
      <c r="I6" s="1">
        <v>4000</v>
      </c>
      <c r="J6" s="1">
        <v>12000</v>
      </c>
      <c r="K6" s="3">
        <f t="shared" si="0"/>
        <v>19200</v>
      </c>
      <c r="M6" t="s">
        <v>44</v>
      </c>
      <c r="N6">
        <v>300</v>
      </c>
      <c r="O6" t="s">
        <v>122</v>
      </c>
      <c r="P6" t="str">
        <f t="shared" si="1"/>
        <v>Carp_300_Low</v>
      </c>
      <c r="Q6" t="str">
        <f t="shared" si="2"/>
        <v>300</v>
      </c>
      <c r="R6" t="str">
        <f t="shared" si="3"/>
        <v>300</v>
      </c>
      <c r="S6" t="str">
        <f t="shared" si="4"/>
        <v>Low</v>
      </c>
      <c r="T6" t="str">
        <f t="shared" si="5"/>
        <v>Low</v>
      </c>
      <c r="U6" t="str">
        <f t="shared" si="6"/>
        <v>Low</v>
      </c>
      <c r="V6" t="s">
        <v>135</v>
      </c>
    </row>
    <row r="7" spans="1:22" x14ac:dyDescent="0.55000000000000004">
      <c r="A7">
        <v>1</v>
      </c>
      <c r="B7" s="2">
        <v>43911</v>
      </c>
      <c r="C7">
        <v>15</v>
      </c>
      <c r="D7">
        <v>4</v>
      </c>
      <c r="E7">
        <v>1</v>
      </c>
      <c r="F7">
        <v>0</v>
      </c>
      <c r="G7" s="1">
        <v>400</v>
      </c>
      <c r="H7" s="1">
        <v>1200</v>
      </c>
      <c r="I7" s="1">
        <v>4000</v>
      </c>
      <c r="J7" s="1">
        <v>12000</v>
      </c>
      <c r="K7" s="3">
        <f t="shared" si="0"/>
        <v>14800</v>
      </c>
      <c r="M7" t="s">
        <v>45</v>
      </c>
      <c r="N7">
        <v>4000</v>
      </c>
      <c r="O7" t="s">
        <v>123</v>
      </c>
      <c r="P7" t="str">
        <f t="shared" si="1"/>
        <v>Koi_4000_High</v>
      </c>
      <c r="Q7" t="str">
        <f t="shared" si="2"/>
        <v>4000</v>
      </c>
      <c r="R7" t="str">
        <f t="shared" si="3"/>
        <v>4000</v>
      </c>
      <c r="S7" t="str">
        <f t="shared" si="4"/>
        <v>High</v>
      </c>
      <c r="T7" t="str">
        <f t="shared" si="5"/>
        <v>High</v>
      </c>
      <c r="U7" t="str">
        <f t="shared" si="6"/>
        <v>High</v>
      </c>
      <c r="V7" t="str">
        <f xml:space="preserve"> RIGHT(V1, LEN(V1) - FIND("_",V1))</f>
        <v>Tran_8103</v>
      </c>
    </row>
    <row r="8" spans="1:22" x14ac:dyDescent="0.55000000000000004">
      <c r="K8" s="3"/>
      <c r="M8" t="s">
        <v>46</v>
      </c>
      <c r="N8">
        <v>1300</v>
      </c>
      <c r="O8" t="s">
        <v>124</v>
      </c>
      <c r="P8" t="str">
        <f t="shared" si="1"/>
        <v>Goldfish_1300_Medium</v>
      </c>
      <c r="Q8" t="str">
        <f t="shared" si="2"/>
        <v>1300</v>
      </c>
      <c r="R8" t="str">
        <f t="shared" si="3"/>
        <v>1300</v>
      </c>
      <c r="S8" t="str">
        <f t="shared" si="4"/>
        <v>Medium</v>
      </c>
      <c r="T8" t="str">
        <f t="shared" si="5"/>
        <v>Medium</v>
      </c>
      <c r="U8" t="str">
        <f t="shared" si="6"/>
        <v>Medium</v>
      </c>
      <c r="V8" t="str">
        <f xml:space="preserve"> RIGHT(V7, LEN(V7) - FIND("_", V7))</f>
        <v>8103</v>
      </c>
    </row>
    <row r="9" spans="1:22" x14ac:dyDescent="0.55000000000000004">
      <c r="A9">
        <v>2</v>
      </c>
      <c r="B9" s="2">
        <v>43913</v>
      </c>
      <c r="C9">
        <v>16</v>
      </c>
      <c r="D9">
        <v>4</v>
      </c>
      <c r="E9">
        <v>1</v>
      </c>
      <c r="F9">
        <v>0</v>
      </c>
      <c r="G9" s="1">
        <v>400</v>
      </c>
      <c r="H9" s="1">
        <v>1200</v>
      </c>
      <c r="I9" s="1">
        <v>4000</v>
      </c>
      <c r="J9" s="1">
        <v>12000</v>
      </c>
      <c r="K9" s="3">
        <f t="shared" si="0"/>
        <v>15200</v>
      </c>
      <c r="L9" s="3">
        <f>SUM(K9:K14)</f>
        <v>104400</v>
      </c>
      <c r="M9" t="s">
        <v>47</v>
      </c>
      <c r="N9">
        <v>1300</v>
      </c>
      <c r="O9" t="s">
        <v>124</v>
      </c>
      <c r="P9" t="str">
        <f t="shared" si="1"/>
        <v>Pop-eyed goldfish_1300_Medium</v>
      </c>
      <c r="Q9" t="str">
        <f t="shared" si="2"/>
        <v>1300</v>
      </c>
      <c r="R9" t="str">
        <f t="shared" si="3"/>
        <v>1300</v>
      </c>
      <c r="S9" t="str">
        <f t="shared" si="4"/>
        <v>Medium</v>
      </c>
      <c r="T9" t="str">
        <f t="shared" si="5"/>
        <v>Medium</v>
      </c>
      <c r="U9" t="str">
        <f t="shared" si="6"/>
        <v>Medium</v>
      </c>
      <c r="V9" t="str">
        <f xml:space="preserve"> RIGHT(RIGHT(V1, LEN(V1) - FIND("_", V1)), LEN(RIGHT(V1, LEN(V1) - FIND("_", V1))) - FIND("_",RIGHT(V1, LEN(V1) - FIND("_", V1))))</f>
        <v>8103</v>
      </c>
    </row>
    <row r="10" spans="1:22" x14ac:dyDescent="0.55000000000000004">
      <c r="A10">
        <v>2</v>
      </c>
      <c r="B10" s="2">
        <v>43914</v>
      </c>
      <c r="C10">
        <v>15</v>
      </c>
      <c r="D10">
        <v>5</v>
      </c>
      <c r="E10">
        <v>1</v>
      </c>
      <c r="F10">
        <v>0</v>
      </c>
      <c r="G10" s="1">
        <v>400</v>
      </c>
      <c r="H10" s="1">
        <v>1200</v>
      </c>
      <c r="I10" s="1">
        <v>4000</v>
      </c>
      <c r="J10" s="1">
        <v>12000</v>
      </c>
      <c r="K10" s="3">
        <f t="shared" si="0"/>
        <v>16000</v>
      </c>
      <c r="M10" t="s">
        <v>48</v>
      </c>
      <c r="N10">
        <v>4500</v>
      </c>
      <c r="O10" t="s">
        <v>123</v>
      </c>
      <c r="P10" t="str">
        <f t="shared" si="1"/>
        <v>Ranchu goldfish_4500_High</v>
      </c>
      <c r="Q10" t="str">
        <f t="shared" si="2"/>
        <v>4500</v>
      </c>
      <c r="R10" t="str">
        <f t="shared" si="3"/>
        <v>4500</v>
      </c>
      <c r="S10" t="str">
        <f t="shared" si="4"/>
        <v>High</v>
      </c>
      <c r="T10" t="str">
        <f t="shared" si="5"/>
        <v>High</v>
      </c>
      <c r="U10" t="str">
        <f t="shared" si="6"/>
        <v>High</v>
      </c>
    </row>
    <row r="11" spans="1:22" x14ac:dyDescent="0.55000000000000004">
      <c r="A11">
        <v>2</v>
      </c>
      <c r="B11" s="2">
        <v>43915</v>
      </c>
      <c r="C11">
        <v>17</v>
      </c>
      <c r="D11">
        <v>3</v>
      </c>
      <c r="E11">
        <v>1</v>
      </c>
      <c r="F11">
        <v>0</v>
      </c>
      <c r="G11" s="1">
        <v>400</v>
      </c>
      <c r="H11" s="1">
        <v>1200</v>
      </c>
      <c r="I11" s="1">
        <v>4000</v>
      </c>
      <c r="J11" s="1">
        <v>12000</v>
      </c>
      <c r="K11" s="3">
        <f t="shared" si="0"/>
        <v>14400</v>
      </c>
      <c r="M11" t="s">
        <v>49</v>
      </c>
      <c r="N11">
        <v>300</v>
      </c>
      <c r="O11" t="s">
        <v>122</v>
      </c>
      <c r="P11" t="str">
        <f t="shared" si="1"/>
        <v>Killifish_300_Low</v>
      </c>
      <c r="Q11" t="str">
        <f t="shared" si="2"/>
        <v>300</v>
      </c>
      <c r="R11" t="str">
        <f t="shared" si="3"/>
        <v>300</v>
      </c>
      <c r="S11" t="str">
        <f t="shared" si="4"/>
        <v>Low</v>
      </c>
      <c r="T11" t="str">
        <f t="shared" si="5"/>
        <v>Low</v>
      </c>
      <c r="U11" t="str">
        <f t="shared" si="6"/>
        <v>Low</v>
      </c>
      <c r="V11" t="s">
        <v>136</v>
      </c>
    </row>
    <row r="12" spans="1:22" x14ac:dyDescent="0.55000000000000004">
      <c r="A12">
        <v>2</v>
      </c>
      <c r="B12" s="2">
        <v>43916</v>
      </c>
      <c r="C12">
        <v>16</v>
      </c>
      <c r="D12">
        <v>4</v>
      </c>
      <c r="E12">
        <v>1</v>
      </c>
      <c r="F12">
        <v>0</v>
      </c>
      <c r="G12" s="1">
        <v>400</v>
      </c>
      <c r="H12" s="1">
        <v>1200</v>
      </c>
      <c r="I12" s="1">
        <v>4000</v>
      </c>
      <c r="J12" s="1">
        <v>12000</v>
      </c>
      <c r="K12" s="3">
        <f t="shared" si="0"/>
        <v>15200</v>
      </c>
      <c r="M12" t="s">
        <v>50</v>
      </c>
      <c r="N12">
        <v>200</v>
      </c>
      <c r="O12" t="s">
        <v>122</v>
      </c>
      <c r="P12" t="str">
        <f t="shared" si="1"/>
        <v>Crawfish_200_Low</v>
      </c>
      <c r="Q12" t="str">
        <f t="shared" si="2"/>
        <v>200</v>
      </c>
      <c r="R12" t="str">
        <f t="shared" si="3"/>
        <v>200</v>
      </c>
      <c r="S12" t="str">
        <f t="shared" si="4"/>
        <v>Low</v>
      </c>
      <c r="T12" t="str">
        <f t="shared" si="5"/>
        <v>Low</v>
      </c>
      <c r="U12" t="str">
        <f t="shared" si="6"/>
        <v>Low</v>
      </c>
      <c r="V12" t="str">
        <f xml:space="preserve"> MID(V1, 6, 4)</f>
        <v>Tran</v>
      </c>
    </row>
    <row r="13" spans="1:22" x14ac:dyDescent="0.55000000000000004">
      <c r="A13">
        <v>2</v>
      </c>
      <c r="B13" s="2">
        <v>43917</v>
      </c>
      <c r="C13">
        <v>14</v>
      </c>
      <c r="D13">
        <v>6</v>
      </c>
      <c r="E13">
        <v>1</v>
      </c>
      <c r="F13">
        <v>0</v>
      </c>
      <c r="G13" s="1">
        <v>400</v>
      </c>
      <c r="H13" s="1">
        <v>1200</v>
      </c>
      <c r="I13" s="1">
        <v>4000</v>
      </c>
      <c r="J13" s="1">
        <v>12000</v>
      </c>
      <c r="K13" s="3">
        <f t="shared" si="0"/>
        <v>16800</v>
      </c>
      <c r="M13" t="s">
        <v>51</v>
      </c>
      <c r="N13">
        <v>3750</v>
      </c>
      <c r="O13" t="s">
        <v>124</v>
      </c>
      <c r="P13" t="str">
        <f t="shared" si="1"/>
        <v>Soft-shelled turtle_3750_Medium</v>
      </c>
      <c r="Q13" t="str">
        <f t="shared" si="2"/>
        <v>3750</v>
      </c>
      <c r="R13" t="str">
        <f t="shared" si="3"/>
        <v>3750</v>
      </c>
      <c r="S13" t="str">
        <f t="shared" si="4"/>
        <v>Medium</v>
      </c>
      <c r="T13" t="str">
        <f t="shared" si="5"/>
        <v>Medium</v>
      </c>
      <c r="U13" t="str">
        <f t="shared" si="6"/>
        <v>Medium</v>
      </c>
    </row>
    <row r="14" spans="1:22" x14ac:dyDescent="0.55000000000000004">
      <c r="A14">
        <v>2</v>
      </c>
      <c r="B14" s="2">
        <v>43918</v>
      </c>
      <c r="C14">
        <v>15</v>
      </c>
      <c r="D14">
        <v>4</v>
      </c>
      <c r="E14">
        <v>1</v>
      </c>
      <c r="F14">
        <v>1</v>
      </c>
      <c r="G14" s="1">
        <v>400</v>
      </c>
      <c r="H14" s="1">
        <v>1200</v>
      </c>
      <c r="I14" s="1">
        <v>4000</v>
      </c>
      <c r="J14" s="1">
        <v>12000</v>
      </c>
      <c r="K14" s="3">
        <f t="shared" si="0"/>
        <v>26800</v>
      </c>
      <c r="M14" t="s">
        <v>52</v>
      </c>
      <c r="N14">
        <v>5000</v>
      </c>
      <c r="O14" t="s">
        <v>123</v>
      </c>
      <c r="P14" t="str">
        <f t="shared" si="1"/>
        <v>Snapping turtle_5000_High</v>
      </c>
      <c r="Q14" t="str">
        <f t="shared" si="2"/>
        <v>5000</v>
      </c>
      <c r="R14" t="str">
        <f t="shared" si="3"/>
        <v>5000</v>
      </c>
      <c r="S14" t="str">
        <f t="shared" si="4"/>
        <v>High</v>
      </c>
      <c r="T14" t="str">
        <f t="shared" si="5"/>
        <v>High</v>
      </c>
      <c r="U14" t="str">
        <f t="shared" si="6"/>
        <v>High</v>
      </c>
    </row>
    <row r="15" spans="1:22" x14ac:dyDescent="0.55000000000000004">
      <c r="K15" s="3"/>
      <c r="M15" t="s">
        <v>53</v>
      </c>
      <c r="N15">
        <v>100</v>
      </c>
      <c r="O15" t="s">
        <v>122</v>
      </c>
      <c r="P15" t="str">
        <f t="shared" si="1"/>
        <v>Tadpole_100_Low</v>
      </c>
      <c r="Q15" t="str">
        <f t="shared" si="2"/>
        <v>100</v>
      </c>
      <c r="R15" t="str">
        <f t="shared" si="3"/>
        <v>100</v>
      </c>
      <c r="S15" t="str">
        <f t="shared" si="4"/>
        <v>Low</v>
      </c>
      <c r="T15" t="str">
        <f t="shared" si="5"/>
        <v>Low</v>
      </c>
      <c r="U15" t="str">
        <f t="shared" si="6"/>
        <v>Low</v>
      </c>
    </row>
    <row r="16" spans="1:22" x14ac:dyDescent="0.55000000000000004">
      <c r="A16">
        <v>3</v>
      </c>
      <c r="B16" s="2">
        <v>43920</v>
      </c>
      <c r="C16">
        <v>16</v>
      </c>
      <c r="D16">
        <v>4</v>
      </c>
      <c r="E16">
        <v>1</v>
      </c>
      <c r="F16">
        <v>0</v>
      </c>
      <c r="G16" s="1">
        <v>400</v>
      </c>
      <c r="H16" s="1">
        <v>1200</v>
      </c>
      <c r="I16" s="1">
        <v>4000</v>
      </c>
      <c r="J16" s="1">
        <v>12000</v>
      </c>
      <c r="K16" s="3">
        <f t="shared" si="0"/>
        <v>15200</v>
      </c>
      <c r="L16" s="3">
        <f>SUM(K16:K21)</f>
        <v>96400</v>
      </c>
      <c r="M16" t="s">
        <v>54</v>
      </c>
      <c r="N16">
        <v>120</v>
      </c>
      <c r="O16" t="s">
        <v>122</v>
      </c>
      <c r="P16" t="str">
        <f t="shared" si="1"/>
        <v>Frog_120_Low</v>
      </c>
      <c r="Q16" t="str">
        <f t="shared" si="2"/>
        <v>120</v>
      </c>
      <c r="R16" t="str">
        <f t="shared" si="3"/>
        <v>120</v>
      </c>
      <c r="S16" t="str">
        <f t="shared" si="4"/>
        <v>Low</v>
      </c>
      <c r="T16" t="str">
        <f t="shared" si="5"/>
        <v>Low</v>
      </c>
      <c r="U16" t="str">
        <f t="shared" si="6"/>
        <v>Low</v>
      </c>
    </row>
    <row r="17" spans="1:21" x14ac:dyDescent="0.55000000000000004">
      <c r="A17">
        <v>3</v>
      </c>
      <c r="B17" s="2">
        <v>43921</v>
      </c>
      <c r="C17">
        <v>15</v>
      </c>
      <c r="D17">
        <v>5</v>
      </c>
      <c r="E17">
        <v>1</v>
      </c>
      <c r="F17">
        <v>0</v>
      </c>
      <c r="G17" s="1">
        <v>400</v>
      </c>
      <c r="H17" s="1">
        <v>1200</v>
      </c>
      <c r="I17" s="1">
        <v>4000</v>
      </c>
      <c r="J17" s="1">
        <v>12000</v>
      </c>
      <c r="K17" s="3">
        <f t="shared" si="0"/>
        <v>16000</v>
      </c>
      <c r="M17" t="s">
        <v>55</v>
      </c>
      <c r="N17">
        <v>400</v>
      </c>
      <c r="O17" t="s">
        <v>122</v>
      </c>
      <c r="P17" t="str">
        <f t="shared" si="1"/>
        <v>Freshwater goby_400_Low</v>
      </c>
      <c r="Q17" t="str">
        <f t="shared" si="2"/>
        <v>400</v>
      </c>
      <c r="R17" t="str">
        <f t="shared" si="3"/>
        <v>400</v>
      </c>
      <c r="S17" t="str">
        <f t="shared" si="4"/>
        <v>Low</v>
      </c>
      <c r="T17" t="str">
        <f t="shared" si="5"/>
        <v>Low</v>
      </c>
      <c r="U17" t="str">
        <f t="shared" si="6"/>
        <v>Low</v>
      </c>
    </row>
    <row r="18" spans="1:21" x14ac:dyDescent="0.55000000000000004">
      <c r="A18">
        <v>3</v>
      </c>
      <c r="B18" s="2">
        <v>43922</v>
      </c>
      <c r="C18">
        <v>17</v>
      </c>
      <c r="D18">
        <v>3</v>
      </c>
      <c r="E18">
        <v>1</v>
      </c>
      <c r="F18">
        <v>0</v>
      </c>
      <c r="G18" s="1">
        <v>400</v>
      </c>
      <c r="H18" s="1">
        <v>1200</v>
      </c>
      <c r="I18" s="1">
        <v>4000</v>
      </c>
      <c r="J18" s="1">
        <v>12000</v>
      </c>
      <c r="K18" s="3">
        <f t="shared" si="0"/>
        <v>14400</v>
      </c>
      <c r="M18" t="s">
        <v>56</v>
      </c>
      <c r="N18">
        <v>400</v>
      </c>
      <c r="O18" t="s">
        <v>122</v>
      </c>
      <c r="P18" t="str">
        <f t="shared" si="1"/>
        <v>Loach_400_Low</v>
      </c>
      <c r="Q18" t="str">
        <f t="shared" si="2"/>
        <v>400</v>
      </c>
      <c r="R18" t="str">
        <f t="shared" si="3"/>
        <v>400</v>
      </c>
      <c r="S18" t="str">
        <f t="shared" si="4"/>
        <v>Low</v>
      </c>
      <c r="T18" t="str">
        <f t="shared" si="5"/>
        <v>Low</v>
      </c>
      <c r="U18" t="str">
        <f t="shared" si="6"/>
        <v>Low</v>
      </c>
    </row>
    <row r="19" spans="1:21" x14ac:dyDescent="0.55000000000000004">
      <c r="A19">
        <v>3</v>
      </c>
      <c r="B19" s="2">
        <v>43923</v>
      </c>
      <c r="C19">
        <v>14</v>
      </c>
      <c r="D19">
        <v>6</v>
      </c>
      <c r="E19">
        <v>1</v>
      </c>
      <c r="F19">
        <v>0</v>
      </c>
      <c r="G19" s="1">
        <v>400</v>
      </c>
      <c r="H19" s="1">
        <v>1200</v>
      </c>
      <c r="I19" s="1">
        <v>4000</v>
      </c>
      <c r="J19" s="1">
        <v>12000</v>
      </c>
      <c r="K19" s="3">
        <f t="shared" si="0"/>
        <v>16800</v>
      </c>
      <c r="M19" t="s">
        <v>57</v>
      </c>
      <c r="N19">
        <v>800</v>
      </c>
      <c r="O19" t="s">
        <v>122</v>
      </c>
      <c r="P19" t="str">
        <f t="shared" si="1"/>
        <v>Catfish_800_Low</v>
      </c>
      <c r="Q19" t="str">
        <f t="shared" si="2"/>
        <v>800</v>
      </c>
      <c r="R19" t="str">
        <f t="shared" si="3"/>
        <v>800</v>
      </c>
      <c r="S19" t="str">
        <f t="shared" si="4"/>
        <v>Low</v>
      </c>
      <c r="T19" t="str">
        <f t="shared" si="5"/>
        <v>Low</v>
      </c>
      <c r="U19" t="str">
        <f t="shared" si="6"/>
        <v>Low</v>
      </c>
    </row>
    <row r="20" spans="1:21" x14ac:dyDescent="0.55000000000000004">
      <c r="A20">
        <v>3</v>
      </c>
      <c r="B20" s="2">
        <v>43924</v>
      </c>
      <c r="C20">
        <v>16</v>
      </c>
      <c r="D20">
        <v>4</v>
      </c>
      <c r="E20">
        <v>2</v>
      </c>
      <c r="F20">
        <v>0</v>
      </c>
      <c r="G20" s="1">
        <v>400</v>
      </c>
      <c r="H20" s="1">
        <v>1200</v>
      </c>
      <c r="I20" s="1">
        <v>4000</v>
      </c>
      <c r="J20" s="1">
        <v>12000</v>
      </c>
      <c r="K20" s="3">
        <f t="shared" si="0"/>
        <v>19200</v>
      </c>
      <c r="M20" t="s">
        <v>58</v>
      </c>
      <c r="N20">
        <v>5500</v>
      </c>
      <c r="O20" t="s">
        <v>123</v>
      </c>
      <c r="P20" t="str">
        <f t="shared" si="1"/>
        <v>Giant snakehead_5500_High</v>
      </c>
      <c r="Q20" t="str">
        <f t="shared" si="2"/>
        <v>5500</v>
      </c>
      <c r="R20" t="str">
        <f t="shared" si="3"/>
        <v>5500</v>
      </c>
      <c r="S20" t="str">
        <f t="shared" si="4"/>
        <v>High</v>
      </c>
      <c r="T20" t="str">
        <f t="shared" si="5"/>
        <v>High</v>
      </c>
      <c r="U20" t="str">
        <f t="shared" si="6"/>
        <v>High</v>
      </c>
    </row>
    <row r="21" spans="1:21" x14ac:dyDescent="0.55000000000000004">
      <c r="A21">
        <v>3</v>
      </c>
      <c r="B21" s="2">
        <v>43925</v>
      </c>
      <c r="C21">
        <v>15</v>
      </c>
      <c r="D21">
        <v>4</v>
      </c>
      <c r="E21">
        <v>1</v>
      </c>
      <c r="F21">
        <v>0</v>
      </c>
      <c r="G21" s="1">
        <v>400</v>
      </c>
      <c r="H21" s="1">
        <v>1200</v>
      </c>
      <c r="I21" s="1">
        <v>4000</v>
      </c>
      <c r="J21" s="1">
        <v>12000</v>
      </c>
      <c r="K21" s="3">
        <f t="shared" si="0"/>
        <v>14800</v>
      </c>
      <c r="M21" t="s">
        <v>59</v>
      </c>
      <c r="N21">
        <v>180</v>
      </c>
      <c r="O21" t="s">
        <v>122</v>
      </c>
      <c r="P21" t="str">
        <f t="shared" si="1"/>
        <v>Bluegill_180_Low</v>
      </c>
      <c r="Q21" t="str">
        <f t="shared" si="2"/>
        <v>180</v>
      </c>
      <c r="R21" t="str">
        <f t="shared" si="3"/>
        <v>180</v>
      </c>
      <c r="S21" t="str">
        <f t="shared" si="4"/>
        <v>Low</v>
      </c>
      <c r="T21" t="str">
        <f t="shared" si="5"/>
        <v>Low</v>
      </c>
      <c r="U21" t="str">
        <f t="shared" si="6"/>
        <v>Low</v>
      </c>
    </row>
    <row r="22" spans="1:21" x14ac:dyDescent="0.55000000000000004">
      <c r="K22" s="3"/>
      <c r="M22" t="s">
        <v>60</v>
      </c>
      <c r="N22">
        <v>300</v>
      </c>
      <c r="O22" t="s">
        <v>122</v>
      </c>
      <c r="P22" t="str">
        <f t="shared" si="1"/>
        <v>Yellow perch_300_Low</v>
      </c>
      <c r="Q22" t="str">
        <f t="shared" si="2"/>
        <v>300</v>
      </c>
      <c r="R22" t="str">
        <f t="shared" si="3"/>
        <v>300</v>
      </c>
      <c r="S22" t="str">
        <f t="shared" si="4"/>
        <v>Low</v>
      </c>
      <c r="T22" t="str">
        <f t="shared" si="5"/>
        <v>Low</v>
      </c>
      <c r="U22" t="str">
        <f t="shared" si="6"/>
        <v>Low</v>
      </c>
    </row>
    <row r="23" spans="1:21" x14ac:dyDescent="0.55000000000000004">
      <c r="A23">
        <v>4</v>
      </c>
      <c r="B23" s="2">
        <v>43927</v>
      </c>
      <c r="C23">
        <v>17</v>
      </c>
      <c r="D23">
        <v>3</v>
      </c>
      <c r="E23">
        <v>1</v>
      </c>
      <c r="F23">
        <v>0</v>
      </c>
      <c r="G23" s="1">
        <v>400</v>
      </c>
      <c r="H23" s="1">
        <v>1200</v>
      </c>
      <c r="I23" s="1">
        <v>4000</v>
      </c>
      <c r="J23" s="1">
        <v>12000</v>
      </c>
      <c r="K23" s="3">
        <f t="shared" si="0"/>
        <v>14400</v>
      </c>
      <c r="L23" s="3">
        <f>SUM(K23:K28)</f>
        <v>96400</v>
      </c>
      <c r="M23" t="s">
        <v>61</v>
      </c>
      <c r="N23">
        <v>400</v>
      </c>
      <c r="O23" t="s">
        <v>122</v>
      </c>
      <c r="P23" t="str">
        <f t="shared" si="1"/>
        <v>Black bass_400_Low</v>
      </c>
      <c r="Q23" t="str">
        <f t="shared" si="2"/>
        <v>400</v>
      </c>
      <c r="R23" t="str">
        <f t="shared" si="3"/>
        <v>400</v>
      </c>
      <c r="S23" t="str">
        <f t="shared" si="4"/>
        <v>Low</v>
      </c>
      <c r="T23" t="str">
        <f t="shared" si="5"/>
        <v>Low</v>
      </c>
      <c r="U23" t="str">
        <f t="shared" si="6"/>
        <v>Low</v>
      </c>
    </row>
    <row r="24" spans="1:21" x14ac:dyDescent="0.55000000000000004">
      <c r="A24">
        <v>4</v>
      </c>
      <c r="B24" s="2">
        <v>43928</v>
      </c>
      <c r="C24">
        <v>16</v>
      </c>
      <c r="D24">
        <v>4</v>
      </c>
      <c r="E24">
        <v>1</v>
      </c>
      <c r="F24">
        <v>0</v>
      </c>
      <c r="G24" s="1">
        <v>400</v>
      </c>
      <c r="H24" s="1">
        <v>1200</v>
      </c>
      <c r="I24" s="1">
        <v>4000</v>
      </c>
      <c r="J24" s="1">
        <v>12000</v>
      </c>
      <c r="K24" s="3">
        <f t="shared" si="0"/>
        <v>15200</v>
      </c>
      <c r="M24" t="s">
        <v>62</v>
      </c>
      <c r="N24">
        <v>800</v>
      </c>
      <c r="O24" t="s">
        <v>122</v>
      </c>
      <c r="P24" t="str">
        <f t="shared" si="1"/>
        <v>Tilapia_800_Low</v>
      </c>
      <c r="Q24" t="str">
        <f t="shared" si="2"/>
        <v>800</v>
      </c>
      <c r="R24" t="str">
        <f t="shared" si="3"/>
        <v>800</v>
      </c>
      <c r="S24" t="str">
        <f t="shared" si="4"/>
        <v>Low</v>
      </c>
      <c r="T24" t="str">
        <f t="shared" si="5"/>
        <v>Low</v>
      </c>
      <c r="U24" t="str">
        <f t="shared" si="6"/>
        <v>Low</v>
      </c>
    </row>
    <row r="25" spans="1:21" x14ac:dyDescent="0.55000000000000004">
      <c r="A25">
        <v>4</v>
      </c>
      <c r="B25" s="2">
        <v>43929</v>
      </c>
      <c r="C25">
        <v>15</v>
      </c>
      <c r="D25">
        <v>5</v>
      </c>
      <c r="E25">
        <v>1</v>
      </c>
      <c r="F25">
        <v>0</v>
      </c>
      <c r="G25" s="1">
        <v>400</v>
      </c>
      <c r="H25" s="1">
        <v>1200</v>
      </c>
      <c r="I25" s="1">
        <v>4000</v>
      </c>
      <c r="J25" s="1">
        <v>12000</v>
      </c>
      <c r="K25" s="3">
        <f t="shared" si="0"/>
        <v>16000</v>
      </c>
      <c r="M25" t="s">
        <v>63</v>
      </c>
      <c r="N25">
        <v>1800</v>
      </c>
      <c r="O25" t="s">
        <v>124</v>
      </c>
      <c r="P25" t="str">
        <f t="shared" si="1"/>
        <v>Pike_1800_Medium</v>
      </c>
      <c r="Q25" t="str">
        <f t="shared" si="2"/>
        <v>1800</v>
      </c>
      <c r="R25" t="str">
        <f t="shared" si="3"/>
        <v>1800</v>
      </c>
      <c r="S25" t="str">
        <f t="shared" si="4"/>
        <v>Medium</v>
      </c>
      <c r="T25" t="str">
        <f t="shared" si="5"/>
        <v>Medium</v>
      </c>
      <c r="U25" t="str">
        <f t="shared" si="6"/>
        <v>Medium</v>
      </c>
    </row>
    <row r="26" spans="1:21" x14ac:dyDescent="0.55000000000000004">
      <c r="A26">
        <v>4</v>
      </c>
      <c r="B26" s="2">
        <v>43930</v>
      </c>
      <c r="C26">
        <v>14</v>
      </c>
      <c r="D26">
        <v>6</v>
      </c>
      <c r="E26">
        <v>1</v>
      </c>
      <c r="F26">
        <v>0</v>
      </c>
      <c r="G26" s="1">
        <v>400</v>
      </c>
      <c r="H26" s="1">
        <v>1200</v>
      </c>
      <c r="I26" s="1">
        <v>4000</v>
      </c>
      <c r="J26" s="1">
        <v>12000</v>
      </c>
      <c r="K26" s="3">
        <f t="shared" si="0"/>
        <v>16800</v>
      </c>
      <c r="M26" t="s">
        <v>64</v>
      </c>
      <c r="N26">
        <v>400</v>
      </c>
      <c r="O26" t="s">
        <v>122</v>
      </c>
      <c r="P26" t="str">
        <f t="shared" si="1"/>
        <v>Pond smelt_400_Low</v>
      </c>
      <c r="Q26" t="str">
        <f t="shared" si="2"/>
        <v>400</v>
      </c>
      <c r="R26" t="str">
        <f t="shared" si="3"/>
        <v>400</v>
      </c>
      <c r="S26" t="str">
        <f t="shared" si="4"/>
        <v>Low</v>
      </c>
      <c r="T26" t="str">
        <f t="shared" si="5"/>
        <v>Low</v>
      </c>
      <c r="U26" t="str">
        <f t="shared" si="6"/>
        <v>Low</v>
      </c>
    </row>
    <row r="27" spans="1:21" x14ac:dyDescent="0.55000000000000004">
      <c r="A27">
        <v>4</v>
      </c>
      <c r="B27" s="2">
        <v>43931</v>
      </c>
      <c r="C27">
        <v>16</v>
      </c>
      <c r="D27">
        <v>4</v>
      </c>
      <c r="E27">
        <v>2</v>
      </c>
      <c r="F27">
        <v>0</v>
      </c>
      <c r="G27" s="1">
        <v>400</v>
      </c>
      <c r="H27" s="1">
        <v>1200</v>
      </c>
      <c r="I27" s="1">
        <v>4000</v>
      </c>
      <c r="J27" s="1">
        <v>12000</v>
      </c>
      <c r="K27" s="3">
        <f t="shared" si="0"/>
        <v>19200</v>
      </c>
      <c r="M27" t="s">
        <v>65</v>
      </c>
      <c r="N27">
        <v>900</v>
      </c>
      <c r="O27" t="s">
        <v>122</v>
      </c>
      <c r="P27" t="str">
        <f t="shared" si="1"/>
        <v>Sweetfish_900_Low</v>
      </c>
      <c r="Q27" t="str">
        <f t="shared" si="2"/>
        <v>900</v>
      </c>
      <c r="R27" t="str">
        <f t="shared" si="3"/>
        <v>900</v>
      </c>
      <c r="S27" t="str">
        <f t="shared" si="4"/>
        <v>Low</v>
      </c>
      <c r="T27" t="str">
        <f t="shared" si="5"/>
        <v>Low</v>
      </c>
      <c r="U27" t="str">
        <f t="shared" si="6"/>
        <v>Low</v>
      </c>
    </row>
    <row r="28" spans="1:21" x14ac:dyDescent="0.55000000000000004">
      <c r="A28">
        <v>4</v>
      </c>
      <c r="B28" s="2">
        <v>43932</v>
      </c>
      <c r="C28">
        <v>15</v>
      </c>
      <c r="D28">
        <v>4</v>
      </c>
      <c r="E28">
        <v>1</v>
      </c>
      <c r="F28">
        <v>0</v>
      </c>
      <c r="G28" s="1">
        <v>400</v>
      </c>
      <c r="H28" s="1">
        <v>1200</v>
      </c>
      <c r="I28" s="1">
        <v>4000</v>
      </c>
      <c r="J28" s="1">
        <v>12000</v>
      </c>
      <c r="K28" s="3">
        <f t="shared" si="0"/>
        <v>14800</v>
      </c>
      <c r="M28" t="s">
        <v>66</v>
      </c>
      <c r="N28">
        <v>1000</v>
      </c>
      <c r="O28" t="s">
        <v>124</v>
      </c>
      <c r="P28" t="str">
        <f t="shared" si="1"/>
        <v>Cherry salmon_1000_Medium</v>
      </c>
      <c r="Q28" t="str">
        <f t="shared" si="2"/>
        <v>1000</v>
      </c>
      <c r="R28" t="str">
        <f t="shared" si="3"/>
        <v>1000</v>
      </c>
      <c r="S28" t="str">
        <f t="shared" si="4"/>
        <v>Medium</v>
      </c>
      <c r="T28" t="str">
        <f t="shared" si="5"/>
        <v>Medium</v>
      </c>
      <c r="U28" t="str">
        <f t="shared" si="6"/>
        <v>Medium</v>
      </c>
    </row>
    <row r="29" spans="1:21" x14ac:dyDescent="0.55000000000000004">
      <c r="K29" s="3"/>
      <c r="M29" t="s">
        <v>67</v>
      </c>
      <c r="N29">
        <v>3800</v>
      </c>
      <c r="O29" t="s">
        <v>124</v>
      </c>
      <c r="P29" t="str">
        <f t="shared" si="1"/>
        <v>Char_3800_Medium</v>
      </c>
      <c r="Q29" t="str">
        <f t="shared" si="2"/>
        <v>3800</v>
      </c>
      <c r="R29" t="str">
        <f t="shared" si="3"/>
        <v>3800</v>
      </c>
      <c r="S29" t="str">
        <f t="shared" si="4"/>
        <v>Medium</v>
      </c>
      <c r="T29" t="str">
        <f t="shared" si="5"/>
        <v>Medium</v>
      </c>
      <c r="U29" t="str">
        <f t="shared" si="6"/>
        <v>Medium</v>
      </c>
    </row>
    <row r="30" spans="1:21" x14ac:dyDescent="0.55000000000000004">
      <c r="A30">
        <v>5</v>
      </c>
      <c r="B30" s="2">
        <v>43934</v>
      </c>
      <c r="C30">
        <v>16</v>
      </c>
      <c r="D30">
        <v>4</v>
      </c>
      <c r="E30">
        <v>1</v>
      </c>
      <c r="F30">
        <v>0</v>
      </c>
      <c r="G30" s="1">
        <v>400</v>
      </c>
      <c r="H30" s="1">
        <v>1200</v>
      </c>
      <c r="I30" s="1">
        <v>4000</v>
      </c>
      <c r="J30" s="1">
        <v>12000</v>
      </c>
      <c r="K30" s="3">
        <f t="shared" si="0"/>
        <v>15200</v>
      </c>
      <c r="L30" s="3">
        <f>SUM(K30:K35)</f>
        <v>104400</v>
      </c>
      <c r="M30" t="s">
        <v>68</v>
      </c>
      <c r="N30">
        <v>15000</v>
      </c>
      <c r="O30" t="s">
        <v>125</v>
      </c>
      <c r="P30" t="str">
        <f t="shared" si="1"/>
        <v>Golden trout_15000_Ultra</v>
      </c>
      <c r="Q30" t="str">
        <f t="shared" si="2"/>
        <v>15000</v>
      </c>
      <c r="R30" t="str">
        <f t="shared" si="3"/>
        <v>15000</v>
      </c>
      <c r="S30" t="str">
        <f t="shared" si="4"/>
        <v>Ultra</v>
      </c>
      <c r="T30" t="str">
        <f t="shared" si="5"/>
        <v>Ultra</v>
      </c>
      <c r="U30" t="str">
        <f t="shared" si="6"/>
        <v>Ultra</v>
      </c>
    </row>
    <row r="31" spans="1:21" x14ac:dyDescent="0.55000000000000004">
      <c r="A31">
        <v>5</v>
      </c>
      <c r="B31" s="2">
        <v>43935</v>
      </c>
      <c r="C31">
        <v>15</v>
      </c>
      <c r="D31">
        <v>5</v>
      </c>
      <c r="E31">
        <v>1</v>
      </c>
      <c r="F31">
        <v>0</v>
      </c>
      <c r="G31" s="1">
        <v>400</v>
      </c>
      <c r="H31" s="1">
        <v>1200</v>
      </c>
      <c r="I31" s="1">
        <v>4000</v>
      </c>
      <c r="J31" s="1">
        <v>12000</v>
      </c>
      <c r="K31" s="3">
        <f t="shared" si="0"/>
        <v>16000</v>
      </c>
      <c r="M31" t="s">
        <v>69</v>
      </c>
      <c r="N31">
        <v>15000</v>
      </c>
      <c r="O31" t="s">
        <v>125</v>
      </c>
      <c r="P31" t="str">
        <f t="shared" si="1"/>
        <v>Stringfish_15000_Ultra</v>
      </c>
      <c r="Q31" t="str">
        <f t="shared" si="2"/>
        <v>15000</v>
      </c>
      <c r="R31" t="str">
        <f t="shared" si="3"/>
        <v>15000</v>
      </c>
      <c r="S31" t="str">
        <f t="shared" si="4"/>
        <v>Ultra</v>
      </c>
      <c r="T31" t="str">
        <f t="shared" si="5"/>
        <v>Ultra</v>
      </c>
      <c r="U31" t="str">
        <f t="shared" si="6"/>
        <v>Ultra</v>
      </c>
    </row>
    <row r="32" spans="1:21" x14ac:dyDescent="0.55000000000000004">
      <c r="A32">
        <v>5</v>
      </c>
      <c r="B32" s="2">
        <v>43936</v>
      </c>
      <c r="C32">
        <v>17</v>
      </c>
      <c r="D32">
        <v>3</v>
      </c>
      <c r="E32">
        <v>1</v>
      </c>
      <c r="F32">
        <v>0</v>
      </c>
      <c r="G32" s="1">
        <v>400</v>
      </c>
      <c r="H32" s="1">
        <v>1200</v>
      </c>
      <c r="I32" s="1">
        <v>4000</v>
      </c>
      <c r="J32" s="1">
        <v>12000</v>
      </c>
      <c r="K32" s="3">
        <f t="shared" si="0"/>
        <v>14400</v>
      </c>
      <c r="M32" t="s">
        <v>70</v>
      </c>
      <c r="N32">
        <v>700</v>
      </c>
      <c r="O32" t="s">
        <v>122</v>
      </c>
      <c r="P32" t="str">
        <f t="shared" si="1"/>
        <v>Salmon_700_Low</v>
      </c>
      <c r="Q32" t="str">
        <f t="shared" si="2"/>
        <v>700</v>
      </c>
      <c r="R32" t="str">
        <f t="shared" si="3"/>
        <v>700</v>
      </c>
      <c r="S32" t="str">
        <f t="shared" si="4"/>
        <v>Low</v>
      </c>
      <c r="T32" t="str">
        <f t="shared" si="5"/>
        <v>Low</v>
      </c>
      <c r="U32" t="str">
        <f t="shared" si="6"/>
        <v>Low</v>
      </c>
    </row>
    <row r="33" spans="1:21" x14ac:dyDescent="0.55000000000000004">
      <c r="A33">
        <v>5</v>
      </c>
      <c r="B33" s="2">
        <v>43937</v>
      </c>
      <c r="C33">
        <v>16</v>
      </c>
      <c r="D33">
        <v>4</v>
      </c>
      <c r="E33">
        <v>1</v>
      </c>
      <c r="F33">
        <v>0</v>
      </c>
      <c r="G33" s="1">
        <v>400</v>
      </c>
      <c r="H33" s="1">
        <v>1200</v>
      </c>
      <c r="I33" s="1">
        <v>4000</v>
      </c>
      <c r="J33" s="1">
        <v>12000</v>
      </c>
      <c r="K33" s="3">
        <f t="shared" si="0"/>
        <v>15200</v>
      </c>
      <c r="M33" t="s">
        <v>71</v>
      </c>
      <c r="N33">
        <v>1800</v>
      </c>
      <c r="O33" t="s">
        <v>124</v>
      </c>
      <c r="P33" t="str">
        <f t="shared" si="1"/>
        <v>King salmon_1800_Medium</v>
      </c>
      <c r="Q33" t="str">
        <f t="shared" si="2"/>
        <v>1800</v>
      </c>
      <c r="R33" t="str">
        <f t="shared" si="3"/>
        <v>1800</v>
      </c>
      <c r="S33" t="str">
        <f t="shared" si="4"/>
        <v>Medium</v>
      </c>
      <c r="T33" t="str">
        <f t="shared" si="5"/>
        <v>Medium</v>
      </c>
      <c r="U33" t="str">
        <f t="shared" si="6"/>
        <v>Medium</v>
      </c>
    </row>
    <row r="34" spans="1:21" x14ac:dyDescent="0.55000000000000004">
      <c r="A34">
        <v>5</v>
      </c>
      <c r="B34" s="2">
        <v>43938</v>
      </c>
      <c r="C34">
        <v>14</v>
      </c>
      <c r="D34">
        <v>6</v>
      </c>
      <c r="E34">
        <v>1</v>
      </c>
      <c r="F34">
        <v>0</v>
      </c>
      <c r="G34" s="1">
        <v>400</v>
      </c>
      <c r="H34" s="1">
        <v>1200</v>
      </c>
      <c r="I34" s="1">
        <v>4000</v>
      </c>
      <c r="J34" s="1">
        <v>12000</v>
      </c>
      <c r="K34" s="3">
        <f t="shared" si="0"/>
        <v>16800</v>
      </c>
      <c r="M34" t="s">
        <v>72</v>
      </c>
      <c r="N34">
        <v>2000</v>
      </c>
      <c r="O34" t="s">
        <v>124</v>
      </c>
      <c r="P34" t="str">
        <f t="shared" si="1"/>
        <v>Mitten crab_2000_Medium</v>
      </c>
      <c r="Q34" t="str">
        <f t="shared" si="2"/>
        <v>2000</v>
      </c>
      <c r="R34" t="str">
        <f t="shared" si="3"/>
        <v>2000</v>
      </c>
      <c r="S34" t="str">
        <f t="shared" si="4"/>
        <v>Medium</v>
      </c>
      <c r="T34" t="str">
        <f t="shared" si="5"/>
        <v>Medium</v>
      </c>
      <c r="U34" t="str">
        <f t="shared" si="6"/>
        <v>Medium</v>
      </c>
    </row>
    <row r="35" spans="1:21" x14ac:dyDescent="0.55000000000000004">
      <c r="A35">
        <v>5</v>
      </c>
      <c r="B35" s="2">
        <v>43939</v>
      </c>
      <c r="C35">
        <v>15</v>
      </c>
      <c r="D35">
        <v>4</v>
      </c>
      <c r="E35">
        <v>1</v>
      </c>
      <c r="F35">
        <v>1</v>
      </c>
      <c r="G35" s="1">
        <v>400</v>
      </c>
      <c r="H35" s="1">
        <v>1200</v>
      </c>
      <c r="I35" s="1">
        <v>4000</v>
      </c>
      <c r="J35" s="1">
        <v>12000</v>
      </c>
      <c r="K35" s="3">
        <f t="shared" si="0"/>
        <v>26800</v>
      </c>
      <c r="M35" t="s">
        <v>73</v>
      </c>
      <c r="N35">
        <v>1300</v>
      </c>
      <c r="O35" t="s">
        <v>124</v>
      </c>
      <c r="P35" t="str">
        <f t="shared" si="1"/>
        <v>Guppy_1300_Medium</v>
      </c>
      <c r="Q35" t="str">
        <f t="shared" si="2"/>
        <v>1300</v>
      </c>
      <c r="R35" t="str">
        <f t="shared" si="3"/>
        <v>1300</v>
      </c>
      <c r="S35" t="str">
        <f t="shared" si="4"/>
        <v>Medium</v>
      </c>
      <c r="T35" t="str">
        <f t="shared" si="5"/>
        <v>Medium</v>
      </c>
      <c r="U35" t="str">
        <f t="shared" si="6"/>
        <v>Medium</v>
      </c>
    </row>
    <row r="36" spans="1:21" x14ac:dyDescent="0.55000000000000004">
      <c r="K36" s="3"/>
      <c r="M36" t="s">
        <v>74</v>
      </c>
      <c r="N36">
        <v>1500</v>
      </c>
      <c r="O36" t="s">
        <v>124</v>
      </c>
      <c r="P36" t="str">
        <f t="shared" si="1"/>
        <v>Nibble fish_1500_Medium</v>
      </c>
      <c r="Q36" t="str">
        <f t="shared" si="2"/>
        <v>1500</v>
      </c>
      <c r="R36" t="str">
        <f t="shared" si="3"/>
        <v>1500</v>
      </c>
      <c r="S36" t="str">
        <f t="shared" si="4"/>
        <v>Medium</v>
      </c>
      <c r="T36" t="str">
        <f t="shared" si="5"/>
        <v>Medium</v>
      </c>
      <c r="U36" t="str">
        <f t="shared" si="6"/>
        <v>Medium</v>
      </c>
    </row>
    <row r="37" spans="1:21" x14ac:dyDescent="0.55000000000000004">
      <c r="A37">
        <v>6</v>
      </c>
      <c r="B37" s="2">
        <v>43941</v>
      </c>
      <c r="C37">
        <v>16</v>
      </c>
      <c r="D37">
        <v>4</v>
      </c>
      <c r="E37">
        <v>1</v>
      </c>
      <c r="F37">
        <v>0</v>
      </c>
      <c r="G37" s="1">
        <v>400</v>
      </c>
      <c r="H37" s="1">
        <v>1200</v>
      </c>
      <c r="I37" s="1">
        <v>4000</v>
      </c>
      <c r="J37" s="1">
        <v>12000</v>
      </c>
      <c r="K37" s="3">
        <f t="shared" si="0"/>
        <v>15200</v>
      </c>
      <c r="L37" s="3">
        <f>SUM(K37:K42)</f>
        <v>92400</v>
      </c>
      <c r="M37" t="s">
        <v>75</v>
      </c>
      <c r="N37">
        <v>3000</v>
      </c>
      <c r="O37" t="s">
        <v>124</v>
      </c>
      <c r="P37" t="str">
        <f t="shared" si="1"/>
        <v>Angelfish_3000_Medium</v>
      </c>
      <c r="Q37" t="str">
        <f t="shared" si="2"/>
        <v>3000</v>
      </c>
      <c r="R37" t="str">
        <f t="shared" si="3"/>
        <v>3000</v>
      </c>
      <c r="S37" t="str">
        <f t="shared" si="4"/>
        <v>Medium</v>
      </c>
      <c r="T37" t="str">
        <f t="shared" si="5"/>
        <v>Medium</v>
      </c>
      <c r="U37" t="str">
        <f t="shared" si="6"/>
        <v>Medium</v>
      </c>
    </row>
    <row r="38" spans="1:21" x14ac:dyDescent="0.55000000000000004">
      <c r="A38">
        <v>6</v>
      </c>
      <c r="B38" s="2">
        <v>43942</v>
      </c>
      <c r="C38">
        <v>15</v>
      </c>
      <c r="D38">
        <v>5</v>
      </c>
      <c r="E38">
        <v>1</v>
      </c>
      <c r="F38">
        <v>0</v>
      </c>
      <c r="G38" s="1">
        <v>400</v>
      </c>
      <c r="H38" s="1">
        <v>1200</v>
      </c>
      <c r="I38" s="1">
        <v>4000</v>
      </c>
      <c r="J38" s="1">
        <v>12000</v>
      </c>
      <c r="K38" s="3">
        <f t="shared" si="0"/>
        <v>16000</v>
      </c>
      <c r="M38" t="s">
        <v>76</v>
      </c>
      <c r="N38">
        <v>2500</v>
      </c>
      <c r="O38" t="s">
        <v>124</v>
      </c>
      <c r="P38" t="str">
        <f t="shared" si="1"/>
        <v>Betta_2500_Medium</v>
      </c>
      <c r="Q38" t="str">
        <f t="shared" si="2"/>
        <v>2500</v>
      </c>
      <c r="R38" t="str">
        <f t="shared" si="3"/>
        <v>2500</v>
      </c>
      <c r="S38" t="str">
        <f t="shared" si="4"/>
        <v>Medium</v>
      </c>
      <c r="T38" t="str">
        <f t="shared" si="5"/>
        <v>Medium</v>
      </c>
      <c r="U38" t="str">
        <f t="shared" si="6"/>
        <v>Medium</v>
      </c>
    </row>
    <row r="39" spans="1:21" x14ac:dyDescent="0.55000000000000004">
      <c r="A39">
        <v>6</v>
      </c>
      <c r="B39" s="2">
        <v>43943</v>
      </c>
      <c r="C39">
        <v>17</v>
      </c>
      <c r="D39">
        <v>3</v>
      </c>
      <c r="E39">
        <v>1</v>
      </c>
      <c r="F39">
        <v>0</v>
      </c>
      <c r="G39" s="1">
        <v>400</v>
      </c>
      <c r="H39" s="1">
        <v>1200</v>
      </c>
      <c r="I39" s="1">
        <v>4000</v>
      </c>
      <c r="J39" s="1">
        <v>12000</v>
      </c>
      <c r="K39" s="3">
        <f t="shared" si="0"/>
        <v>14400</v>
      </c>
      <c r="M39" t="s">
        <v>77</v>
      </c>
      <c r="N39">
        <v>500</v>
      </c>
      <c r="O39" t="s">
        <v>122</v>
      </c>
      <c r="P39" t="str">
        <f t="shared" si="1"/>
        <v>Neon tetra_500_Low</v>
      </c>
      <c r="Q39" t="str">
        <f t="shared" si="2"/>
        <v>500</v>
      </c>
      <c r="R39" t="str">
        <f t="shared" si="3"/>
        <v>500</v>
      </c>
      <c r="S39" t="str">
        <f t="shared" si="4"/>
        <v>Low</v>
      </c>
      <c r="T39" t="str">
        <f t="shared" si="5"/>
        <v>Low</v>
      </c>
      <c r="U39" t="str">
        <f t="shared" si="6"/>
        <v>Low</v>
      </c>
    </row>
    <row r="40" spans="1:21" x14ac:dyDescent="0.55000000000000004">
      <c r="A40">
        <v>6</v>
      </c>
      <c r="B40" s="2">
        <v>43944</v>
      </c>
      <c r="C40">
        <v>16</v>
      </c>
      <c r="D40">
        <v>4</v>
      </c>
      <c r="E40">
        <v>1</v>
      </c>
      <c r="F40">
        <v>0</v>
      </c>
      <c r="G40" s="1">
        <v>400</v>
      </c>
      <c r="H40" s="1">
        <v>1200</v>
      </c>
      <c r="I40" s="1">
        <v>4000</v>
      </c>
      <c r="J40" s="1">
        <v>12000</v>
      </c>
      <c r="K40" s="3">
        <f t="shared" si="0"/>
        <v>15200</v>
      </c>
      <c r="M40" t="s">
        <v>78</v>
      </c>
      <c r="N40">
        <v>800</v>
      </c>
      <c r="O40" t="s">
        <v>122</v>
      </c>
      <c r="P40" t="str">
        <f t="shared" si="1"/>
        <v>Rainbowfish_800_Low</v>
      </c>
      <c r="Q40" t="str">
        <f t="shared" si="2"/>
        <v>800</v>
      </c>
      <c r="R40" t="str">
        <f t="shared" si="3"/>
        <v>800</v>
      </c>
      <c r="S40" t="str">
        <f t="shared" si="4"/>
        <v>Low</v>
      </c>
      <c r="T40" t="str">
        <f t="shared" si="5"/>
        <v>Low</v>
      </c>
      <c r="U40" t="str">
        <f t="shared" si="6"/>
        <v>Low</v>
      </c>
    </row>
    <row r="41" spans="1:21" x14ac:dyDescent="0.55000000000000004">
      <c r="A41">
        <v>6</v>
      </c>
      <c r="B41" s="2">
        <v>43945</v>
      </c>
      <c r="C41">
        <v>14</v>
      </c>
      <c r="D41">
        <v>6</v>
      </c>
      <c r="E41">
        <v>1</v>
      </c>
      <c r="F41">
        <v>0</v>
      </c>
      <c r="G41" s="1">
        <v>400</v>
      </c>
      <c r="H41" s="1">
        <v>1200</v>
      </c>
      <c r="I41" s="1">
        <v>4000</v>
      </c>
      <c r="J41" s="1">
        <v>12000</v>
      </c>
      <c r="K41" s="3">
        <f t="shared" si="0"/>
        <v>16800</v>
      </c>
      <c r="M41" t="s">
        <v>79</v>
      </c>
      <c r="N41">
        <v>2500</v>
      </c>
      <c r="O41" t="s">
        <v>124</v>
      </c>
      <c r="P41" t="str">
        <f t="shared" si="1"/>
        <v>Piranha_2500_Medium</v>
      </c>
      <c r="Q41" t="str">
        <f t="shared" si="2"/>
        <v>2500</v>
      </c>
      <c r="R41" t="str">
        <f t="shared" si="3"/>
        <v>2500</v>
      </c>
      <c r="S41" t="str">
        <f t="shared" si="4"/>
        <v>Medium</v>
      </c>
      <c r="T41" t="str">
        <f t="shared" si="5"/>
        <v>Medium</v>
      </c>
      <c r="U41" t="str">
        <f t="shared" si="6"/>
        <v>Medium</v>
      </c>
    </row>
    <row r="42" spans="1:21" x14ac:dyDescent="0.55000000000000004">
      <c r="A42">
        <v>6</v>
      </c>
      <c r="B42" s="2">
        <v>43946</v>
      </c>
      <c r="C42">
        <v>15</v>
      </c>
      <c r="D42">
        <v>4</v>
      </c>
      <c r="E42">
        <v>1</v>
      </c>
      <c r="F42">
        <v>0</v>
      </c>
      <c r="G42" s="1">
        <v>400</v>
      </c>
      <c r="H42" s="1">
        <v>1200</v>
      </c>
      <c r="I42" s="1">
        <v>4000</v>
      </c>
      <c r="J42" s="1">
        <v>12000</v>
      </c>
      <c r="K42" s="3">
        <f t="shared" si="0"/>
        <v>14800</v>
      </c>
      <c r="M42" t="s">
        <v>80</v>
      </c>
      <c r="N42">
        <v>10000</v>
      </c>
      <c r="O42" t="s">
        <v>125</v>
      </c>
      <c r="P42" t="str">
        <f t="shared" si="1"/>
        <v>Arowana_10000_Ultra</v>
      </c>
      <c r="Q42" t="str">
        <f t="shared" si="2"/>
        <v>10000</v>
      </c>
      <c r="R42" t="str">
        <f t="shared" si="3"/>
        <v>10000</v>
      </c>
      <c r="S42" t="str">
        <f t="shared" si="4"/>
        <v>Ultra</v>
      </c>
      <c r="T42" t="str">
        <f t="shared" si="5"/>
        <v>Ultra</v>
      </c>
      <c r="U42" t="str">
        <f t="shared" si="6"/>
        <v>Ultra</v>
      </c>
    </row>
    <row r="43" spans="1:21" x14ac:dyDescent="0.55000000000000004">
      <c r="K43" s="3"/>
      <c r="M43" t="s">
        <v>81</v>
      </c>
      <c r="N43">
        <v>15000</v>
      </c>
      <c r="O43" t="s">
        <v>125</v>
      </c>
      <c r="P43" t="str">
        <f t="shared" si="1"/>
        <v>Dorado_15000_Ultra</v>
      </c>
      <c r="Q43" t="str">
        <f t="shared" si="2"/>
        <v>15000</v>
      </c>
      <c r="R43" t="str">
        <f t="shared" si="3"/>
        <v>15000</v>
      </c>
      <c r="S43" t="str">
        <f t="shared" si="4"/>
        <v>Ultra</v>
      </c>
      <c r="T43" t="str">
        <f t="shared" si="5"/>
        <v>Ultra</v>
      </c>
      <c r="U43" t="str">
        <f t="shared" si="6"/>
        <v>Ultra</v>
      </c>
    </row>
    <row r="44" spans="1:21" x14ac:dyDescent="0.55000000000000004">
      <c r="A44">
        <v>7</v>
      </c>
      <c r="B44" s="2">
        <v>43948</v>
      </c>
      <c r="C44">
        <v>16</v>
      </c>
      <c r="D44">
        <v>4</v>
      </c>
      <c r="E44">
        <v>1</v>
      </c>
      <c r="F44">
        <v>0</v>
      </c>
      <c r="G44" s="1">
        <v>400</v>
      </c>
      <c r="H44" s="1">
        <v>1200</v>
      </c>
      <c r="I44" s="1">
        <v>4000</v>
      </c>
      <c r="J44" s="1">
        <v>12000</v>
      </c>
      <c r="K44" s="3">
        <f t="shared" si="0"/>
        <v>15200</v>
      </c>
      <c r="L44" s="3">
        <f>SUM(K44:K49)</f>
        <v>96400</v>
      </c>
      <c r="M44" t="s">
        <v>82</v>
      </c>
      <c r="N44">
        <v>6000</v>
      </c>
      <c r="O44" t="s">
        <v>123</v>
      </c>
      <c r="P44" t="str">
        <f t="shared" si="1"/>
        <v>Gar_6000_High</v>
      </c>
      <c r="Q44" t="str">
        <f t="shared" si="2"/>
        <v>6000</v>
      </c>
      <c r="R44" t="str">
        <f t="shared" si="3"/>
        <v>6000</v>
      </c>
      <c r="S44" t="str">
        <f t="shared" si="4"/>
        <v>High</v>
      </c>
      <c r="T44" t="str">
        <f t="shared" si="5"/>
        <v>High</v>
      </c>
      <c r="U44" t="str">
        <f t="shared" si="6"/>
        <v>High</v>
      </c>
    </row>
    <row r="45" spans="1:21" x14ac:dyDescent="0.55000000000000004">
      <c r="A45">
        <v>7</v>
      </c>
      <c r="B45" s="2">
        <v>43949</v>
      </c>
      <c r="C45">
        <v>15</v>
      </c>
      <c r="D45">
        <v>5</v>
      </c>
      <c r="E45">
        <v>1</v>
      </c>
      <c r="F45">
        <v>0</v>
      </c>
      <c r="G45" s="1">
        <v>400</v>
      </c>
      <c r="H45" s="1">
        <v>1200</v>
      </c>
      <c r="I45" s="1">
        <v>4000</v>
      </c>
      <c r="J45" s="1">
        <v>12000</v>
      </c>
      <c r="K45" s="3">
        <f t="shared" si="0"/>
        <v>16000</v>
      </c>
      <c r="M45" t="s">
        <v>83</v>
      </c>
      <c r="N45">
        <v>10000</v>
      </c>
      <c r="O45" t="s">
        <v>125</v>
      </c>
      <c r="P45" t="str">
        <f t="shared" si="1"/>
        <v>Arapaima_10000_Ultra</v>
      </c>
      <c r="Q45" t="str">
        <f t="shared" si="2"/>
        <v>10000</v>
      </c>
      <c r="R45" t="str">
        <f t="shared" si="3"/>
        <v>10000</v>
      </c>
      <c r="S45" t="str">
        <f t="shared" si="4"/>
        <v>Ultra</v>
      </c>
      <c r="T45" t="str">
        <f t="shared" si="5"/>
        <v>Ultra</v>
      </c>
      <c r="U45" t="str">
        <f t="shared" si="6"/>
        <v>Ultra</v>
      </c>
    </row>
    <row r="46" spans="1:21" x14ac:dyDescent="0.55000000000000004">
      <c r="A46">
        <v>7</v>
      </c>
      <c r="B46" s="2">
        <v>43950</v>
      </c>
      <c r="C46">
        <v>17</v>
      </c>
      <c r="D46">
        <v>3</v>
      </c>
      <c r="E46">
        <v>1</v>
      </c>
      <c r="F46">
        <v>0</v>
      </c>
      <c r="G46" s="1">
        <v>400</v>
      </c>
      <c r="H46" s="1">
        <v>1200</v>
      </c>
      <c r="I46" s="1">
        <v>4000</v>
      </c>
      <c r="J46" s="1">
        <v>12000</v>
      </c>
      <c r="K46" s="3">
        <f t="shared" si="0"/>
        <v>14400</v>
      </c>
      <c r="M46" t="s">
        <v>84</v>
      </c>
      <c r="N46">
        <v>4000</v>
      </c>
      <c r="O46" t="s">
        <v>123</v>
      </c>
      <c r="P46" t="str">
        <f t="shared" si="1"/>
        <v>Saddled bichir_4000_High</v>
      </c>
      <c r="Q46" t="str">
        <f t="shared" si="2"/>
        <v>4000</v>
      </c>
      <c r="R46" t="str">
        <f t="shared" si="3"/>
        <v>4000</v>
      </c>
      <c r="S46" t="str">
        <f t="shared" si="4"/>
        <v>High</v>
      </c>
      <c r="T46" t="str">
        <f t="shared" si="5"/>
        <v>High</v>
      </c>
      <c r="U46" t="str">
        <f t="shared" si="6"/>
        <v>High</v>
      </c>
    </row>
    <row r="47" spans="1:21" x14ac:dyDescent="0.55000000000000004">
      <c r="A47">
        <v>7</v>
      </c>
      <c r="B47" s="2">
        <v>43951</v>
      </c>
      <c r="C47">
        <v>14</v>
      </c>
      <c r="D47">
        <v>6</v>
      </c>
      <c r="E47">
        <v>1</v>
      </c>
      <c r="F47">
        <v>0</v>
      </c>
      <c r="G47" s="1">
        <v>400</v>
      </c>
      <c r="H47" s="1">
        <v>1200</v>
      </c>
      <c r="I47" s="1">
        <v>4000</v>
      </c>
      <c r="J47" s="1">
        <v>12000</v>
      </c>
      <c r="K47" s="3">
        <f t="shared" si="0"/>
        <v>16800</v>
      </c>
      <c r="M47" t="s">
        <v>85</v>
      </c>
      <c r="N47">
        <v>10000</v>
      </c>
      <c r="O47" t="s">
        <v>125</v>
      </c>
      <c r="P47" t="str">
        <f t="shared" si="1"/>
        <v>Sturgeon_10000_Ultra</v>
      </c>
      <c r="Q47" t="str">
        <f t="shared" si="2"/>
        <v>10000</v>
      </c>
      <c r="R47" t="str">
        <f t="shared" si="3"/>
        <v>10000</v>
      </c>
      <c r="S47" t="str">
        <f t="shared" si="4"/>
        <v>Ultra</v>
      </c>
      <c r="T47" t="str">
        <f t="shared" si="5"/>
        <v>Ultra</v>
      </c>
      <c r="U47" t="str">
        <f t="shared" si="6"/>
        <v>Ultra</v>
      </c>
    </row>
    <row r="48" spans="1:21" x14ac:dyDescent="0.55000000000000004">
      <c r="A48">
        <v>7</v>
      </c>
      <c r="B48" s="2">
        <v>43952</v>
      </c>
      <c r="C48">
        <v>16</v>
      </c>
      <c r="D48">
        <v>4</v>
      </c>
      <c r="E48">
        <v>2</v>
      </c>
      <c r="F48">
        <v>0</v>
      </c>
      <c r="G48" s="1">
        <v>400</v>
      </c>
      <c r="H48" s="1">
        <v>1200</v>
      </c>
      <c r="I48" s="1">
        <v>4000</v>
      </c>
      <c r="J48" s="1">
        <v>12000</v>
      </c>
      <c r="K48" s="3">
        <f t="shared" si="0"/>
        <v>19200</v>
      </c>
      <c r="M48" t="s">
        <v>86</v>
      </c>
      <c r="N48">
        <v>1000</v>
      </c>
      <c r="O48" t="s">
        <v>124</v>
      </c>
      <c r="P48" t="str">
        <f t="shared" si="1"/>
        <v>Sea butterfly_1000_Medium</v>
      </c>
      <c r="Q48" t="str">
        <f t="shared" si="2"/>
        <v>1000</v>
      </c>
      <c r="R48" t="str">
        <f t="shared" si="3"/>
        <v>1000</v>
      </c>
      <c r="S48" t="str">
        <f t="shared" si="4"/>
        <v>Medium</v>
      </c>
      <c r="T48" t="str">
        <f t="shared" si="5"/>
        <v>Medium</v>
      </c>
      <c r="U48" t="str">
        <f t="shared" si="6"/>
        <v>Medium</v>
      </c>
    </row>
    <row r="49" spans="1:21" x14ac:dyDescent="0.55000000000000004">
      <c r="A49">
        <v>7</v>
      </c>
      <c r="B49" s="2">
        <v>43953</v>
      </c>
      <c r="C49">
        <v>15</v>
      </c>
      <c r="D49">
        <v>4</v>
      </c>
      <c r="E49">
        <v>1</v>
      </c>
      <c r="F49">
        <v>0</v>
      </c>
      <c r="G49" s="1">
        <v>400</v>
      </c>
      <c r="H49" s="1">
        <v>1200</v>
      </c>
      <c r="I49" s="1">
        <v>4000</v>
      </c>
      <c r="J49" s="1">
        <v>12000</v>
      </c>
      <c r="K49" s="3">
        <f t="shared" si="0"/>
        <v>14800</v>
      </c>
      <c r="M49" t="s">
        <v>87</v>
      </c>
      <c r="N49">
        <v>1100</v>
      </c>
      <c r="O49" t="s">
        <v>124</v>
      </c>
      <c r="P49" t="str">
        <f t="shared" si="1"/>
        <v>Sea horse_1100_Medium</v>
      </c>
      <c r="Q49" t="str">
        <f t="shared" si="2"/>
        <v>1100</v>
      </c>
      <c r="R49" t="str">
        <f t="shared" si="3"/>
        <v>1100</v>
      </c>
      <c r="S49" t="str">
        <f t="shared" si="4"/>
        <v>Medium</v>
      </c>
      <c r="T49" t="str">
        <f t="shared" si="5"/>
        <v>Medium</v>
      </c>
      <c r="U49" t="str">
        <f t="shared" si="6"/>
        <v>Medium</v>
      </c>
    </row>
    <row r="50" spans="1:21" x14ac:dyDescent="0.55000000000000004">
      <c r="K50" s="3"/>
      <c r="M50" t="s">
        <v>88</v>
      </c>
      <c r="N50">
        <v>650</v>
      </c>
      <c r="O50" t="s">
        <v>122</v>
      </c>
      <c r="P50" t="str">
        <f t="shared" si="1"/>
        <v>Clown fish_650_Low</v>
      </c>
      <c r="Q50" t="str">
        <f t="shared" si="2"/>
        <v>650</v>
      </c>
      <c r="R50" t="str">
        <f t="shared" si="3"/>
        <v>650</v>
      </c>
      <c r="S50" t="str">
        <f t="shared" si="4"/>
        <v>Low</v>
      </c>
      <c r="T50" t="str">
        <f t="shared" si="5"/>
        <v>Low</v>
      </c>
      <c r="U50" t="str">
        <f t="shared" si="6"/>
        <v>Low</v>
      </c>
    </row>
    <row r="51" spans="1:21" x14ac:dyDescent="0.55000000000000004">
      <c r="A51">
        <v>8</v>
      </c>
      <c r="B51" s="2">
        <v>43955</v>
      </c>
      <c r="C51">
        <v>16</v>
      </c>
      <c r="D51">
        <v>4</v>
      </c>
      <c r="E51">
        <v>1</v>
      </c>
      <c r="F51">
        <v>0</v>
      </c>
      <c r="G51" s="1">
        <v>400</v>
      </c>
      <c r="H51" s="1">
        <v>1200</v>
      </c>
      <c r="I51" s="1">
        <v>4000</v>
      </c>
      <c r="J51" s="1">
        <v>12000</v>
      </c>
      <c r="K51" s="3">
        <f t="shared" si="0"/>
        <v>15200</v>
      </c>
      <c r="L51" s="3">
        <f>SUM(K51:K56)</f>
        <v>104400</v>
      </c>
      <c r="M51" t="s">
        <v>89</v>
      </c>
      <c r="N51">
        <v>1000</v>
      </c>
      <c r="O51" t="s">
        <v>124</v>
      </c>
      <c r="P51" t="str">
        <f t="shared" si="1"/>
        <v>Surgeonfish_1000_Medium</v>
      </c>
      <c r="Q51" t="str">
        <f t="shared" si="2"/>
        <v>1000</v>
      </c>
      <c r="R51" t="str">
        <f t="shared" si="3"/>
        <v>1000</v>
      </c>
      <c r="S51" t="str">
        <f t="shared" si="4"/>
        <v>Medium</v>
      </c>
      <c r="T51" t="str">
        <f t="shared" si="5"/>
        <v>Medium</v>
      </c>
      <c r="U51" t="str">
        <f t="shared" si="6"/>
        <v>Medium</v>
      </c>
    </row>
    <row r="52" spans="1:21" x14ac:dyDescent="0.55000000000000004">
      <c r="A52">
        <v>8</v>
      </c>
      <c r="B52" s="2">
        <v>43956</v>
      </c>
      <c r="C52">
        <v>15</v>
      </c>
      <c r="D52">
        <v>5</v>
      </c>
      <c r="E52">
        <v>1</v>
      </c>
      <c r="F52">
        <v>0</v>
      </c>
      <c r="G52" s="1">
        <v>400</v>
      </c>
      <c r="H52" s="1">
        <v>1200</v>
      </c>
      <c r="I52" s="1">
        <v>4000</v>
      </c>
      <c r="J52" s="1">
        <v>12000</v>
      </c>
      <c r="K52" s="3">
        <f t="shared" si="0"/>
        <v>16000</v>
      </c>
      <c r="M52" t="s">
        <v>90</v>
      </c>
      <c r="N52">
        <v>1000</v>
      </c>
      <c r="O52" t="s">
        <v>124</v>
      </c>
      <c r="P52" t="str">
        <f t="shared" si="1"/>
        <v>Butterfly fish_1000_Medium</v>
      </c>
      <c r="Q52" t="str">
        <f t="shared" si="2"/>
        <v>1000</v>
      </c>
      <c r="R52" t="str">
        <f t="shared" si="3"/>
        <v>1000</v>
      </c>
      <c r="S52" t="str">
        <f t="shared" si="4"/>
        <v>Medium</v>
      </c>
      <c r="T52" t="str">
        <f t="shared" si="5"/>
        <v>Medium</v>
      </c>
      <c r="U52" t="str">
        <f t="shared" si="6"/>
        <v>Medium</v>
      </c>
    </row>
    <row r="53" spans="1:21" x14ac:dyDescent="0.55000000000000004">
      <c r="A53">
        <v>8</v>
      </c>
      <c r="B53" s="2">
        <v>43957</v>
      </c>
      <c r="C53">
        <v>17</v>
      </c>
      <c r="D53">
        <v>3</v>
      </c>
      <c r="E53">
        <v>1</v>
      </c>
      <c r="F53">
        <v>0</v>
      </c>
      <c r="G53" s="1">
        <v>400</v>
      </c>
      <c r="H53" s="1">
        <v>1200</v>
      </c>
      <c r="I53" s="1">
        <v>4000</v>
      </c>
      <c r="J53" s="1">
        <v>12000</v>
      </c>
      <c r="K53" s="3">
        <f t="shared" si="0"/>
        <v>14400</v>
      </c>
      <c r="M53" t="s">
        <v>91</v>
      </c>
      <c r="N53">
        <v>10000</v>
      </c>
      <c r="O53" t="s">
        <v>125</v>
      </c>
      <c r="P53" t="str">
        <f t="shared" si="1"/>
        <v>Napoleonfish_10000_Ultra</v>
      </c>
      <c r="Q53" t="str">
        <f t="shared" si="2"/>
        <v>10000</v>
      </c>
      <c r="R53" t="str">
        <f t="shared" si="3"/>
        <v>10000</v>
      </c>
      <c r="S53" t="str">
        <f t="shared" si="4"/>
        <v>Ultra</v>
      </c>
      <c r="T53" t="str">
        <f t="shared" si="5"/>
        <v>Ultra</v>
      </c>
      <c r="U53" t="str">
        <f t="shared" si="6"/>
        <v>Ultra</v>
      </c>
    </row>
    <row r="54" spans="1:21" x14ac:dyDescent="0.55000000000000004">
      <c r="A54">
        <v>8</v>
      </c>
      <c r="B54" s="2">
        <v>43958</v>
      </c>
      <c r="C54">
        <v>16</v>
      </c>
      <c r="D54">
        <v>4</v>
      </c>
      <c r="E54">
        <v>1</v>
      </c>
      <c r="F54">
        <v>0</v>
      </c>
      <c r="G54" s="1">
        <v>400</v>
      </c>
      <c r="H54" s="1">
        <v>1200</v>
      </c>
      <c r="I54" s="1">
        <v>4000</v>
      </c>
      <c r="J54" s="1">
        <v>12000</v>
      </c>
      <c r="K54" s="3">
        <f t="shared" si="0"/>
        <v>15200</v>
      </c>
      <c r="M54" t="s">
        <v>92</v>
      </c>
      <c r="N54">
        <v>500</v>
      </c>
      <c r="O54" t="s">
        <v>122</v>
      </c>
      <c r="P54" t="str">
        <f t="shared" si="1"/>
        <v>Zebra turkeyfish_500_Low</v>
      </c>
      <c r="Q54" t="str">
        <f t="shared" si="2"/>
        <v>500</v>
      </c>
      <c r="R54" t="str">
        <f t="shared" si="3"/>
        <v>500</v>
      </c>
      <c r="S54" t="str">
        <f t="shared" si="4"/>
        <v>Low</v>
      </c>
      <c r="T54" t="str">
        <f t="shared" si="5"/>
        <v>Low</v>
      </c>
      <c r="U54" t="str">
        <f t="shared" si="6"/>
        <v>Low</v>
      </c>
    </row>
    <row r="55" spans="1:21" x14ac:dyDescent="0.55000000000000004">
      <c r="A55">
        <v>8</v>
      </c>
      <c r="B55" s="2">
        <v>43959</v>
      </c>
      <c r="C55">
        <v>14</v>
      </c>
      <c r="D55">
        <v>6</v>
      </c>
      <c r="E55">
        <v>1</v>
      </c>
      <c r="F55">
        <v>0</v>
      </c>
      <c r="G55" s="1">
        <v>400</v>
      </c>
      <c r="H55" s="1">
        <v>1200</v>
      </c>
      <c r="I55" s="1">
        <v>4000</v>
      </c>
      <c r="J55" s="1">
        <v>12000</v>
      </c>
      <c r="K55" s="3">
        <f t="shared" si="0"/>
        <v>16800</v>
      </c>
      <c r="M55" t="s">
        <v>93</v>
      </c>
      <c r="N55">
        <v>5000</v>
      </c>
      <c r="O55" t="s">
        <v>123</v>
      </c>
      <c r="P55" t="str">
        <f t="shared" si="1"/>
        <v>Blowfish_5000_High</v>
      </c>
      <c r="Q55" t="str">
        <f t="shared" si="2"/>
        <v>5000</v>
      </c>
      <c r="R55" t="str">
        <f t="shared" si="3"/>
        <v>5000</v>
      </c>
      <c r="S55" t="str">
        <f t="shared" si="4"/>
        <v>High</v>
      </c>
      <c r="T55" t="str">
        <f t="shared" si="5"/>
        <v>High</v>
      </c>
      <c r="U55" t="str">
        <f t="shared" si="6"/>
        <v>High</v>
      </c>
    </row>
    <row r="56" spans="1:21" x14ac:dyDescent="0.55000000000000004">
      <c r="A56">
        <v>8</v>
      </c>
      <c r="B56" s="2">
        <v>43960</v>
      </c>
      <c r="C56">
        <v>15</v>
      </c>
      <c r="D56">
        <v>4</v>
      </c>
      <c r="E56">
        <v>1</v>
      </c>
      <c r="F56">
        <v>1</v>
      </c>
      <c r="G56" s="1">
        <v>400</v>
      </c>
      <c r="H56" s="1">
        <v>1200</v>
      </c>
      <c r="I56" s="1">
        <v>4000</v>
      </c>
      <c r="J56" s="1">
        <v>12000</v>
      </c>
      <c r="K56" s="3">
        <f t="shared" si="0"/>
        <v>26800</v>
      </c>
      <c r="M56" t="s">
        <v>94</v>
      </c>
      <c r="N56">
        <v>250</v>
      </c>
      <c r="O56" t="s">
        <v>122</v>
      </c>
      <c r="P56" t="str">
        <f t="shared" si="1"/>
        <v>Puffer fish_250_Low</v>
      </c>
      <c r="Q56" t="str">
        <f t="shared" si="2"/>
        <v>250</v>
      </c>
      <c r="R56" t="str">
        <f t="shared" si="3"/>
        <v>250</v>
      </c>
      <c r="S56" t="str">
        <f t="shared" si="4"/>
        <v>Low</v>
      </c>
      <c r="T56" t="str">
        <f t="shared" si="5"/>
        <v>Low</v>
      </c>
      <c r="U56" t="str">
        <f t="shared" si="6"/>
        <v>Low</v>
      </c>
    </row>
    <row r="57" spans="1:21" x14ac:dyDescent="0.55000000000000004">
      <c r="K57" s="3"/>
      <c r="M57" t="s">
        <v>95</v>
      </c>
      <c r="N57">
        <v>200</v>
      </c>
      <c r="O57" t="s">
        <v>122</v>
      </c>
      <c r="P57" t="str">
        <f t="shared" si="1"/>
        <v>Anchovy_200_Low</v>
      </c>
      <c r="Q57" t="str">
        <f t="shared" si="2"/>
        <v>200</v>
      </c>
      <c r="R57" t="str">
        <f t="shared" si="3"/>
        <v>200</v>
      </c>
      <c r="S57" t="str">
        <f t="shared" si="4"/>
        <v>Low</v>
      </c>
      <c r="T57" t="str">
        <f t="shared" si="5"/>
        <v>Low</v>
      </c>
      <c r="U57" t="str">
        <f t="shared" si="6"/>
        <v>Low</v>
      </c>
    </row>
    <row r="58" spans="1:21" x14ac:dyDescent="0.55000000000000004">
      <c r="A58">
        <v>9</v>
      </c>
      <c r="B58" s="2">
        <v>43962</v>
      </c>
      <c r="C58">
        <v>16</v>
      </c>
      <c r="D58">
        <v>4</v>
      </c>
      <c r="E58">
        <v>1</v>
      </c>
      <c r="F58">
        <v>0</v>
      </c>
      <c r="G58" s="1">
        <v>400</v>
      </c>
      <c r="H58" s="1">
        <v>1200</v>
      </c>
      <c r="I58" s="1">
        <v>4000</v>
      </c>
      <c r="J58" s="1">
        <v>12000</v>
      </c>
      <c r="K58" s="3">
        <f t="shared" si="0"/>
        <v>15200</v>
      </c>
      <c r="L58" s="3">
        <f>SUM(K58:K63)</f>
        <v>92400</v>
      </c>
      <c r="M58" t="s">
        <v>96</v>
      </c>
      <c r="N58">
        <v>150</v>
      </c>
      <c r="O58" t="s">
        <v>122</v>
      </c>
      <c r="P58" t="str">
        <f t="shared" si="1"/>
        <v>Horse mackerel_150_Low</v>
      </c>
      <c r="Q58" t="str">
        <f t="shared" si="2"/>
        <v>150</v>
      </c>
      <c r="R58" t="str">
        <f t="shared" si="3"/>
        <v>150</v>
      </c>
      <c r="S58" t="str">
        <f t="shared" si="4"/>
        <v>Low</v>
      </c>
      <c r="T58" t="str">
        <f t="shared" si="5"/>
        <v>Low</v>
      </c>
      <c r="U58" t="str">
        <f t="shared" si="6"/>
        <v>Low</v>
      </c>
    </row>
    <row r="59" spans="1:21" x14ac:dyDescent="0.55000000000000004">
      <c r="A59">
        <v>9</v>
      </c>
      <c r="B59" s="2">
        <v>43963</v>
      </c>
      <c r="C59">
        <v>15</v>
      </c>
      <c r="D59">
        <v>5</v>
      </c>
      <c r="E59">
        <v>1</v>
      </c>
      <c r="F59">
        <v>0</v>
      </c>
      <c r="G59" s="1">
        <v>400</v>
      </c>
      <c r="H59" s="1">
        <v>1200</v>
      </c>
      <c r="I59" s="1">
        <v>4000</v>
      </c>
      <c r="J59" s="1">
        <v>12000</v>
      </c>
      <c r="K59" s="3">
        <f t="shared" si="0"/>
        <v>16000</v>
      </c>
      <c r="M59" t="s">
        <v>97</v>
      </c>
      <c r="N59">
        <v>5000</v>
      </c>
      <c r="O59" t="s">
        <v>123</v>
      </c>
      <c r="P59" t="str">
        <f t="shared" si="1"/>
        <v>Barred knifejaw_5000_High</v>
      </c>
      <c r="Q59" t="str">
        <f t="shared" si="2"/>
        <v>5000</v>
      </c>
      <c r="R59" t="str">
        <f t="shared" si="3"/>
        <v>5000</v>
      </c>
      <c r="S59" t="str">
        <f t="shared" si="4"/>
        <v>High</v>
      </c>
      <c r="T59" t="str">
        <f t="shared" si="5"/>
        <v>High</v>
      </c>
      <c r="U59" t="str">
        <f t="shared" si="6"/>
        <v>High</v>
      </c>
    </row>
    <row r="60" spans="1:21" x14ac:dyDescent="0.55000000000000004">
      <c r="A60">
        <v>9</v>
      </c>
      <c r="B60" s="2">
        <v>43964</v>
      </c>
      <c r="C60">
        <v>17</v>
      </c>
      <c r="D60">
        <v>3</v>
      </c>
      <c r="E60">
        <v>1</v>
      </c>
      <c r="F60">
        <v>0</v>
      </c>
      <c r="G60" s="1">
        <v>400</v>
      </c>
      <c r="H60" s="1">
        <v>1200</v>
      </c>
      <c r="I60" s="1">
        <v>4000</v>
      </c>
      <c r="J60" s="1">
        <v>12000</v>
      </c>
      <c r="K60" s="3">
        <f t="shared" si="0"/>
        <v>14400</v>
      </c>
      <c r="M60" t="s">
        <v>98</v>
      </c>
      <c r="N60">
        <v>400</v>
      </c>
      <c r="O60" t="s">
        <v>122</v>
      </c>
      <c r="P60" t="str">
        <f t="shared" si="1"/>
        <v>Sea bass_400_Low</v>
      </c>
      <c r="Q60" t="str">
        <f t="shared" si="2"/>
        <v>400</v>
      </c>
      <c r="R60" t="str">
        <f t="shared" si="3"/>
        <v>400</v>
      </c>
      <c r="S60" t="str">
        <f t="shared" si="4"/>
        <v>Low</v>
      </c>
      <c r="T60" t="str">
        <f t="shared" si="5"/>
        <v>Low</v>
      </c>
      <c r="U60" t="str">
        <f t="shared" si="6"/>
        <v>Low</v>
      </c>
    </row>
    <row r="61" spans="1:21" x14ac:dyDescent="0.55000000000000004">
      <c r="A61">
        <v>9</v>
      </c>
      <c r="B61" s="2">
        <v>43965</v>
      </c>
      <c r="C61">
        <v>16</v>
      </c>
      <c r="D61">
        <v>4</v>
      </c>
      <c r="E61">
        <v>1</v>
      </c>
      <c r="F61">
        <v>0</v>
      </c>
      <c r="G61" s="1">
        <v>400</v>
      </c>
      <c r="H61" s="1">
        <v>1200</v>
      </c>
      <c r="I61" s="1">
        <v>4000</v>
      </c>
      <c r="J61" s="1">
        <v>12000</v>
      </c>
      <c r="K61" s="3">
        <f t="shared" si="0"/>
        <v>15200</v>
      </c>
      <c r="M61" t="s">
        <v>99</v>
      </c>
      <c r="N61">
        <v>3000</v>
      </c>
      <c r="O61" t="s">
        <v>124</v>
      </c>
      <c r="P61" t="str">
        <f t="shared" si="1"/>
        <v>Red snapper_3000_Medium</v>
      </c>
      <c r="Q61" t="str">
        <f t="shared" si="2"/>
        <v>3000</v>
      </c>
      <c r="R61" t="str">
        <f t="shared" si="3"/>
        <v>3000</v>
      </c>
      <c r="S61" t="str">
        <f t="shared" si="4"/>
        <v>Medium</v>
      </c>
      <c r="T61" t="str">
        <f t="shared" si="5"/>
        <v>Medium</v>
      </c>
      <c r="U61" t="str">
        <f t="shared" si="6"/>
        <v>Medium</v>
      </c>
    </row>
    <row r="62" spans="1:21" x14ac:dyDescent="0.55000000000000004">
      <c r="A62">
        <v>9</v>
      </c>
      <c r="B62" s="2">
        <v>43966</v>
      </c>
      <c r="C62">
        <v>14</v>
      </c>
      <c r="D62">
        <v>6</v>
      </c>
      <c r="E62">
        <v>1</v>
      </c>
      <c r="F62">
        <v>0</v>
      </c>
      <c r="G62" s="1">
        <v>400</v>
      </c>
      <c r="H62" s="1">
        <v>1200</v>
      </c>
      <c r="I62" s="1">
        <v>4000</v>
      </c>
      <c r="J62" s="1">
        <v>12000</v>
      </c>
      <c r="K62" s="3">
        <f t="shared" si="0"/>
        <v>16800</v>
      </c>
      <c r="M62" t="s">
        <v>100</v>
      </c>
      <c r="N62">
        <v>300</v>
      </c>
      <c r="O62" t="s">
        <v>122</v>
      </c>
      <c r="P62" t="str">
        <f t="shared" si="1"/>
        <v>Dab_300_Low</v>
      </c>
      <c r="Q62" t="str">
        <f t="shared" si="2"/>
        <v>300</v>
      </c>
      <c r="R62" t="str">
        <f t="shared" si="3"/>
        <v>300</v>
      </c>
      <c r="S62" t="str">
        <f t="shared" si="4"/>
        <v>Low</v>
      </c>
      <c r="T62" t="str">
        <f t="shared" si="5"/>
        <v>Low</v>
      </c>
      <c r="U62" t="str">
        <f t="shared" si="6"/>
        <v>Low</v>
      </c>
    </row>
    <row r="63" spans="1:21" x14ac:dyDescent="0.55000000000000004">
      <c r="A63">
        <v>9</v>
      </c>
      <c r="B63" s="2">
        <v>43967</v>
      </c>
      <c r="C63">
        <v>15</v>
      </c>
      <c r="D63">
        <v>4</v>
      </c>
      <c r="E63">
        <v>1</v>
      </c>
      <c r="F63">
        <v>0</v>
      </c>
      <c r="G63" s="1">
        <v>400</v>
      </c>
      <c r="H63" s="1">
        <v>1200</v>
      </c>
      <c r="I63" s="1">
        <v>4000</v>
      </c>
      <c r="J63" s="1">
        <v>12000</v>
      </c>
      <c r="K63" s="3">
        <f t="shared" si="0"/>
        <v>14800</v>
      </c>
      <c r="M63" t="s">
        <v>101</v>
      </c>
      <c r="N63">
        <v>800</v>
      </c>
      <c r="O63" t="s">
        <v>122</v>
      </c>
      <c r="P63" t="str">
        <f t="shared" si="1"/>
        <v>Olive flounder_800_Low</v>
      </c>
      <c r="Q63" t="str">
        <f t="shared" si="2"/>
        <v>800</v>
      </c>
      <c r="R63" t="str">
        <f t="shared" si="3"/>
        <v>800</v>
      </c>
      <c r="S63" t="str">
        <f t="shared" si="4"/>
        <v>Low</v>
      </c>
      <c r="T63" t="str">
        <f t="shared" si="5"/>
        <v>Low</v>
      </c>
      <c r="U63" t="str">
        <f t="shared" si="6"/>
        <v>Low</v>
      </c>
    </row>
    <row r="64" spans="1:21" x14ac:dyDescent="0.55000000000000004">
      <c r="K64" s="3"/>
      <c r="M64" t="s">
        <v>102</v>
      </c>
      <c r="N64">
        <v>500</v>
      </c>
      <c r="O64" t="s">
        <v>122</v>
      </c>
      <c r="P64" t="str">
        <f t="shared" si="1"/>
        <v>Squid_500_Low</v>
      </c>
      <c r="Q64" t="str">
        <f t="shared" si="2"/>
        <v>500</v>
      </c>
      <c r="R64" t="str">
        <f t="shared" si="3"/>
        <v>500</v>
      </c>
      <c r="S64" t="str">
        <f t="shared" si="4"/>
        <v>Low</v>
      </c>
      <c r="T64" t="str">
        <f t="shared" si="5"/>
        <v>Low</v>
      </c>
      <c r="U64" t="str">
        <f t="shared" si="6"/>
        <v>Low</v>
      </c>
    </row>
    <row r="65" spans="1:21" x14ac:dyDescent="0.55000000000000004">
      <c r="A65">
        <v>10</v>
      </c>
      <c r="B65" s="2">
        <v>43969</v>
      </c>
      <c r="C65">
        <v>16</v>
      </c>
      <c r="D65">
        <v>4</v>
      </c>
      <c r="E65">
        <v>1</v>
      </c>
      <c r="F65">
        <v>0</v>
      </c>
      <c r="G65" s="1">
        <v>400</v>
      </c>
      <c r="H65" s="1">
        <v>1200</v>
      </c>
      <c r="I65" s="1">
        <v>4000</v>
      </c>
      <c r="J65" s="1">
        <v>12000</v>
      </c>
      <c r="K65" s="3">
        <f t="shared" si="0"/>
        <v>15200</v>
      </c>
      <c r="L65" s="3">
        <f>SUM(K65:K70)</f>
        <v>96400</v>
      </c>
      <c r="M65" t="s">
        <v>103</v>
      </c>
      <c r="N65">
        <v>2000</v>
      </c>
      <c r="O65" t="s">
        <v>124</v>
      </c>
      <c r="P65" t="str">
        <f t="shared" si="1"/>
        <v>Moray eel_2000_Medium</v>
      </c>
      <c r="Q65" t="str">
        <f t="shared" si="2"/>
        <v>2000</v>
      </c>
      <c r="R65" t="str">
        <f t="shared" si="3"/>
        <v>2000</v>
      </c>
      <c r="S65" t="str">
        <f t="shared" si="4"/>
        <v>Medium</v>
      </c>
      <c r="T65" t="str">
        <f t="shared" si="5"/>
        <v>Medium</v>
      </c>
      <c r="U65" t="str">
        <f t="shared" si="6"/>
        <v>Medium</v>
      </c>
    </row>
    <row r="66" spans="1:21" x14ac:dyDescent="0.55000000000000004">
      <c r="A66">
        <v>10</v>
      </c>
      <c r="B66" s="2">
        <v>43970</v>
      </c>
      <c r="C66">
        <v>15</v>
      </c>
      <c r="D66">
        <v>5</v>
      </c>
      <c r="E66">
        <v>1</v>
      </c>
      <c r="F66">
        <v>0</v>
      </c>
      <c r="G66" s="1">
        <v>400</v>
      </c>
      <c r="H66" s="1">
        <v>1200</v>
      </c>
      <c r="I66" s="1">
        <v>4000</v>
      </c>
      <c r="J66" s="1">
        <v>12000</v>
      </c>
      <c r="K66" s="3">
        <f t="shared" si="0"/>
        <v>16000</v>
      </c>
      <c r="M66" t="s">
        <v>104</v>
      </c>
      <c r="N66">
        <v>600</v>
      </c>
      <c r="O66" t="s">
        <v>122</v>
      </c>
      <c r="P66" t="str">
        <f t="shared" si="1"/>
        <v>Ribbon eel_600_Low</v>
      </c>
      <c r="Q66" t="str">
        <f t="shared" si="2"/>
        <v>600</v>
      </c>
      <c r="R66" t="str">
        <f t="shared" si="3"/>
        <v>600</v>
      </c>
      <c r="S66" t="str">
        <f t="shared" si="4"/>
        <v>Low</v>
      </c>
      <c r="T66" t="str">
        <f t="shared" si="5"/>
        <v>Low</v>
      </c>
      <c r="U66" t="str">
        <f t="shared" si="6"/>
        <v>Low</v>
      </c>
    </row>
    <row r="67" spans="1:21" x14ac:dyDescent="0.55000000000000004">
      <c r="A67">
        <v>10</v>
      </c>
      <c r="B67" s="2">
        <v>43971</v>
      </c>
      <c r="C67">
        <v>17</v>
      </c>
      <c r="D67">
        <v>3</v>
      </c>
      <c r="E67">
        <v>1</v>
      </c>
      <c r="F67">
        <v>0</v>
      </c>
      <c r="G67" s="1">
        <v>400</v>
      </c>
      <c r="H67" s="1">
        <v>1200</v>
      </c>
      <c r="I67" s="1">
        <v>4000</v>
      </c>
      <c r="J67" s="1">
        <v>12000</v>
      </c>
      <c r="K67" s="3">
        <f t="shared" ref="K67:K84" si="7" xml:space="preserve"> C67 * G67 + D67 * H67 + E67 * I67 + F67 * J67</f>
        <v>14400</v>
      </c>
      <c r="M67" t="s">
        <v>105</v>
      </c>
      <c r="N67">
        <v>7000</v>
      </c>
      <c r="O67" t="s">
        <v>123</v>
      </c>
      <c r="P67" t="str">
        <f t="shared" ref="P67:P81" si="8" xml:space="preserve"> M67 &amp; "_" &amp; N67 &amp; "_" &amp; O67</f>
        <v>Tuna_7000_High</v>
      </c>
      <c r="Q67" t="str">
        <f t="shared" ref="Q67:Q81" si="9">LEFT(RIGHT(P67,LEN(P67)-FIND("_",P67)),FIND("_",RIGHT(P67,LEN(P67)-FIND("_",P67)))-1)</f>
        <v>7000</v>
      </c>
      <c r="R67" t="str">
        <f t="shared" ref="R67:R81" si="10" xml:space="preserve"> MID(P67, FIND("_", P67)+1, FIND("_", P67, FIND("_", P67)+1) - FIND("_", P67)-1)</f>
        <v>7000</v>
      </c>
      <c r="S67" t="str">
        <f t="shared" ref="S67:S81" si="11">RIGHT(RIGHT(P67,LEN(P67)-FIND("_",P67)),LEN(RIGHT(P67,LEN(P67)-FIND("_",P67)))-FIND("_",RIGHT(P67,LEN(P67)-FIND("_",P67))))</f>
        <v>High</v>
      </c>
      <c r="T67" t="str">
        <f t="shared" ref="T67:T81" si="12">RIGHT(P67,LEN(P67)-FIND("_",P67,FIND("_",P67)+1))</f>
        <v>High</v>
      </c>
      <c r="U67" t="str">
        <f t="shared" ref="U67:U81" si="13">MID(P67,FIND("_",P67,FIND("_",P67)+1)+1,LEN(P67)-FIND("_",P67,FIND("_",P67)+1))</f>
        <v>High</v>
      </c>
    </row>
    <row r="68" spans="1:21" x14ac:dyDescent="0.55000000000000004">
      <c r="A68">
        <v>10</v>
      </c>
      <c r="B68" s="2">
        <v>43972</v>
      </c>
      <c r="C68">
        <v>14</v>
      </c>
      <c r="D68">
        <v>6</v>
      </c>
      <c r="E68">
        <v>1</v>
      </c>
      <c r="F68">
        <v>0</v>
      </c>
      <c r="G68" s="1">
        <v>400</v>
      </c>
      <c r="H68" s="1">
        <v>1200</v>
      </c>
      <c r="I68" s="1">
        <v>4000</v>
      </c>
      <c r="J68" s="1">
        <v>12000</v>
      </c>
      <c r="K68" s="3">
        <f t="shared" si="7"/>
        <v>16800</v>
      </c>
      <c r="M68" t="s">
        <v>106</v>
      </c>
      <c r="N68">
        <v>10000</v>
      </c>
      <c r="O68" t="s">
        <v>125</v>
      </c>
      <c r="P68" t="str">
        <f t="shared" si="8"/>
        <v>Blue marlin_10000_Ultra</v>
      </c>
      <c r="Q68" t="str">
        <f t="shared" si="9"/>
        <v>10000</v>
      </c>
      <c r="R68" t="str">
        <f t="shared" si="10"/>
        <v>10000</v>
      </c>
      <c r="S68" t="str">
        <f t="shared" si="11"/>
        <v>Ultra</v>
      </c>
      <c r="T68" t="str">
        <f t="shared" si="12"/>
        <v>Ultra</v>
      </c>
      <c r="U68" t="str">
        <f t="shared" si="13"/>
        <v>Ultra</v>
      </c>
    </row>
    <row r="69" spans="1:21" x14ac:dyDescent="0.55000000000000004">
      <c r="A69">
        <v>10</v>
      </c>
      <c r="B69" s="2">
        <v>43973</v>
      </c>
      <c r="C69">
        <v>16</v>
      </c>
      <c r="D69">
        <v>4</v>
      </c>
      <c r="E69">
        <v>2</v>
      </c>
      <c r="F69">
        <v>0</v>
      </c>
      <c r="G69" s="1">
        <v>400</v>
      </c>
      <c r="H69" s="1">
        <v>1200</v>
      </c>
      <c r="I69" s="1">
        <v>4000</v>
      </c>
      <c r="J69" s="1">
        <v>12000</v>
      </c>
      <c r="K69" s="3">
        <f t="shared" si="7"/>
        <v>19200</v>
      </c>
      <c r="M69" t="s">
        <v>107</v>
      </c>
      <c r="N69">
        <v>4500</v>
      </c>
      <c r="O69" t="s">
        <v>123</v>
      </c>
      <c r="P69" t="str">
        <f t="shared" si="8"/>
        <v>Giant trevally_4500_High</v>
      </c>
      <c r="Q69" t="str">
        <f t="shared" si="9"/>
        <v>4500</v>
      </c>
      <c r="R69" t="str">
        <f t="shared" si="10"/>
        <v>4500</v>
      </c>
      <c r="S69" t="str">
        <f t="shared" si="11"/>
        <v>High</v>
      </c>
      <c r="T69" t="str">
        <f t="shared" si="12"/>
        <v>High</v>
      </c>
      <c r="U69" t="str">
        <f t="shared" si="13"/>
        <v>High</v>
      </c>
    </row>
    <row r="70" spans="1:21" x14ac:dyDescent="0.55000000000000004">
      <c r="A70">
        <v>10</v>
      </c>
      <c r="B70" s="2">
        <v>43974</v>
      </c>
      <c r="C70">
        <v>15</v>
      </c>
      <c r="D70">
        <v>4</v>
      </c>
      <c r="E70">
        <v>1</v>
      </c>
      <c r="F70">
        <v>0</v>
      </c>
      <c r="G70" s="1">
        <v>400</v>
      </c>
      <c r="H70" s="1">
        <v>1200</v>
      </c>
      <c r="I70" s="1">
        <v>4000</v>
      </c>
      <c r="J70" s="1">
        <v>12000</v>
      </c>
      <c r="K70" s="3">
        <f t="shared" si="7"/>
        <v>14800</v>
      </c>
      <c r="M70" t="s">
        <v>108</v>
      </c>
      <c r="N70">
        <v>6000</v>
      </c>
      <c r="O70" t="s">
        <v>123</v>
      </c>
      <c r="P70" t="str">
        <f t="shared" si="8"/>
        <v>Mahi-mahi_6000_High</v>
      </c>
      <c r="Q70" t="str">
        <f t="shared" si="9"/>
        <v>6000</v>
      </c>
      <c r="R70" t="str">
        <f t="shared" si="10"/>
        <v>6000</v>
      </c>
      <c r="S70" t="str">
        <f t="shared" si="11"/>
        <v>High</v>
      </c>
      <c r="T70" t="str">
        <f t="shared" si="12"/>
        <v>High</v>
      </c>
      <c r="U70" t="str">
        <f t="shared" si="13"/>
        <v>High</v>
      </c>
    </row>
    <row r="71" spans="1:21" x14ac:dyDescent="0.55000000000000004">
      <c r="K71" s="3"/>
      <c r="M71" t="s">
        <v>109</v>
      </c>
      <c r="N71">
        <v>4000</v>
      </c>
      <c r="O71" t="s">
        <v>123</v>
      </c>
      <c r="P71" t="str">
        <f t="shared" si="8"/>
        <v>Ocean sunfish_4000_High</v>
      </c>
      <c r="Q71" t="str">
        <f t="shared" si="9"/>
        <v>4000</v>
      </c>
      <c r="R71" t="str">
        <f t="shared" si="10"/>
        <v>4000</v>
      </c>
      <c r="S71" t="str">
        <f t="shared" si="11"/>
        <v>High</v>
      </c>
      <c r="T71" t="str">
        <f t="shared" si="12"/>
        <v>High</v>
      </c>
      <c r="U71" t="str">
        <f t="shared" si="13"/>
        <v>High</v>
      </c>
    </row>
    <row r="72" spans="1:21" x14ac:dyDescent="0.55000000000000004">
      <c r="A72">
        <v>11</v>
      </c>
      <c r="B72" s="2">
        <v>43976</v>
      </c>
      <c r="C72">
        <v>16</v>
      </c>
      <c r="D72">
        <v>4</v>
      </c>
      <c r="E72">
        <v>1</v>
      </c>
      <c r="F72">
        <v>0</v>
      </c>
      <c r="G72" s="1">
        <v>400</v>
      </c>
      <c r="H72" s="1">
        <v>1200</v>
      </c>
      <c r="I72" s="1">
        <v>4000</v>
      </c>
      <c r="J72" s="1">
        <v>12000</v>
      </c>
      <c r="K72" s="3">
        <f t="shared" si="7"/>
        <v>15200</v>
      </c>
      <c r="L72" s="3">
        <f>SUM(K72:K77)</f>
        <v>104400</v>
      </c>
      <c r="M72" t="s">
        <v>110</v>
      </c>
      <c r="N72">
        <v>3000</v>
      </c>
      <c r="O72" t="s">
        <v>124</v>
      </c>
      <c r="P72" t="str">
        <f t="shared" si="8"/>
        <v>Ray_3000_Medium</v>
      </c>
      <c r="Q72" t="str">
        <f t="shared" si="9"/>
        <v>3000</v>
      </c>
      <c r="R72" t="str">
        <f t="shared" si="10"/>
        <v>3000</v>
      </c>
      <c r="S72" t="str">
        <f t="shared" si="11"/>
        <v>Medium</v>
      </c>
      <c r="T72" t="str">
        <f t="shared" si="12"/>
        <v>Medium</v>
      </c>
      <c r="U72" t="str">
        <f t="shared" si="13"/>
        <v>Medium</v>
      </c>
    </row>
    <row r="73" spans="1:21" x14ac:dyDescent="0.55000000000000004">
      <c r="A73">
        <v>11</v>
      </c>
      <c r="B73" s="2">
        <v>43977</v>
      </c>
      <c r="C73">
        <v>15</v>
      </c>
      <c r="D73">
        <v>5</v>
      </c>
      <c r="E73">
        <v>1</v>
      </c>
      <c r="F73">
        <v>0</v>
      </c>
      <c r="G73" s="1">
        <v>400</v>
      </c>
      <c r="H73" s="1">
        <v>1200</v>
      </c>
      <c r="I73" s="1">
        <v>4000</v>
      </c>
      <c r="J73" s="1">
        <v>12000</v>
      </c>
      <c r="K73" s="3">
        <f t="shared" si="7"/>
        <v>16000</v>
      </c>
      <c r="M73" t="s">
        <v>111</v>
      </c>
      <c r="N73">
        <v>12000</v>
      </c>
      <c r="O73" t="s">
        <v>125</v>
      </c>
      <c r="P73" t="str">
        <f t="shared" si="8"/>
        <v>Saw shark_12000_Ultra</v>
      </c>
      <c r="Q73" t="str">
        <f t="shared" si="9"/>
        <v>12000</v>
      </c>
      <c r="R73" t="str">
        <f t="shared" si="10"/>
        <v>12000</v>
      </c>
      <c r="S73" t="str">
        <f t="shared" si="11"/>
        <v>Ultra</v>
      </c>
      <c r="T73" t="str">
        <f t="shared" si="12"/>
        <v>Ultra</v>
      </c>
      <c r="U73" t="str">
        <f t="shared" si="13"/>
        <v>Ultra</v>
      </c>
    </row>
    <row r="74" spans="1:21" x14ac:dyDescent="0.55000000000000004">
      <c r="A74">
        <v>11</v>
      </c>
      <c r="B74" s="2">
        <v>43978</v>
      </c>
      <c r="C74">
        <v>17</v>
      </c>
      <c r="D74">
        <v>3</v>
      </c>
      <c r="E74">
        <v>1</v>
      </c>
      <c r="F74">
        <v>0</v>
      </c>
      <c r="G74" s="1">
        <v>400</v>
      </c>
      <c r="H74" s="1">
        <v>1200</v>
      </c>
      <c r="I74" s="1">
        <v>4000</v>
      </c>
      <c r="J74" s="1">
        <v>12000</v>
      </c>
      <c r="K74" s="3">
        <f t="shared" si="7"/>
        <v>14400</v>
      </c>
      <c r="M74" t="s">
        <v>112</v>
      </c>
      <c r="N74">
        <v>8000</v>
      </c>
      <c r="O74" t="s">
        <v>123</v>
      </c>
      <c r="P74" t="str">
        <f t="shared" si="8"/>
        <v>Hammerhead shark_8000_High</v>
      </c>
      <c r="Q74" t="str">
        <f t="shared" si="9"/>
        <v>8000</v>
      </c>
      <c r="R74" t="str">
        <f t="shared" si="10"/>
        <v>8000</v>
      </c>
      <c r="S74" t="str">
        <f t="shared" si="11"/>
        <v>High</v>
      </c>
      <c r="T74" t="str">
        <f t="shared" si="12"/>
        <v>High</v>
      </c>
      <c r="U74" t="str">
        <f t="shared" si="13"/>
        <v>High</v>
      </c>
    </row>
    <row r="75" spans="1:21" x14ac:dyDescent="0.55000000000000004">
      <c r="A75">
        <v>11</v>
      </c>
      <c r="B75" s="2">
        <v>43979</v>
      </c>
      <c r="C75">
        <v>16</v>
      </c>
      <c r="D75">
        <v>4</v>
      </c>
      <c r="E75">
        <v>1</v>
      </c>
      <c r="F75">
        <v>0</v>
      </c>
      <c r="G75" s="1">
        <v>400</v>
      </c>
      <c r="H75" s="1">
        <v>1200</v>
      </c>
      <c r="I75" s="1">
        <v>4000</v>
      </c>
      <c r="J75" s="1">
        <v>12000</v>
      </c>
      <c r="K75" s="3">
        <f t="shared" si="7"/>
        <v>15200</v>
      </c>
      <c r="M75" t="s">
        <v>113</v>
      </c>
      <c r="N75">
        <v>15000</v>
      </c>
      <c r="O75" t="s">
        <v>125</v>
      </c>
      <c r="P75" t="str">
        <f t="shared" si="8"/>
        <v>Great white shark_15000_Ultra</v>
      </c>
      <c r="Q75" t="str">
        <f t="shared" si="9"/>
        <v>15000</v>
      </c>
      <c r="R75" t="str">
        <f t="shared" si="10"/>
        <v>15000</v>
      </c>
      <c r="S75" t="str">
        <f t="shared" si="11"/>
        <v>Ultra</v>
      </c>
      <c r="T75" t="str">
        <f t="shared" si="12"/>
        <v>Ultra</v>
      </c>
      <c r="U75" t="str">
        <f t="shared" si="13"/>
        <v>Ultra</v>
      </c>
    </row>
    <row r="76" spans="1:21" x14ac:dyDescent="0.55000000000000004">
      <c r="A76">
        <v>11</v>
      </c>
      <c r="B76" s="2">
        <v>43980</v>
      </c>
      <c r="C76">
        <v>14</v>
      </c>
      <c r="D76">
        <v>6</v>
      </c>
      <c r="E76">
        <v>1</v>
      </c>
      <c r="F76">
        <v>0</v>
      </c>
      <c r="G76" s="1">
        <v>400</v>
      </c>
      <c r="H76" s="1">
        <v>1200</v>
      </c>
      <c r="I76" s="1">
        <v>4000</v>
      </c>
      <c r="J76" s="1">
        <v>12000</v>
      </c>
      <c r="K76" s="3">
        <f t="shared" si="7"/>
        <v>16800</v>
      </c>
      <c r="M76" t="s">
        <v>114</v>
      </c>
      <c r="N76">
        <v>13000</v>
      </c>
      <c r="O76" t="s">
        <v>125</v>
      </c>
      <c r="P76" t="str">
        <f t="shared" si="8"/>
        <v>Whale shark_13000_Ultra</v>
      </c>
      <c r="Q76" t="str">
        <f t="shared" si="9"/>
        <v>13000</v>
      </c>
      <c r="R76" t="str">
        <f t="shared" si="10"/>
        <v>13000</v>
      </c>
      <c r="S76" t="str">
        <f t="shared" si="11"/>
        <v>Ultra</v>
      </c>
      <c r="T76" t="str">
        <f t="shared" si="12"/>
        <v>Ultra</v>
      </c>
      <c r="U76" t="str">
        <f t="shared" si="13"/>
        <v>Ultra</v>
      </c>
    </row>
    <row r="77" spans="1:21" x14ac:dyDescent="0.55000000000000004">
      <c r="A77">
        <v>11</v>
      </c>
      <c r="B77" s="2">
        <v>43981</v>
      </c>
      <c r="C77">
        <v>15</v>
      </c>
      <c r="D77">
        <v>4</v>
      </c>
      <c r="E77">
        <v>1</v>
      </c>
      <c r="F77">
        <v>1</v>
      </c>
      <c r="G77" s="1">
        <v>400</v>
      </c>
      <c r="H77" s="1">
        <v>1200</v>
      </c>
      <c r="I77" s="1">
        <v>4000</v>
      </c>
      <c r="J77" s="1">
        <v>12000</v>
      </c>
      <c r="K77" s="3">
        <f t="shared" si="7"/>
        <v>26800</v>
      </c>
      <c r="M77" t="s">
        <v>115</v>
      </c>
      <c r="N77">
        <v>1500</v>
      </c>
      <c r="O77" t="s">
        <v>124</v>
      </c>
      <c r="P77" t="str">
        <f t="shared" si="8"/>
        <v>Suckerfish_1500_Medium</v>
      </c>
      <c r="Q77" t="str">
        <f t="shared" si="9"/>
        <v>1500</v>
      </c>
      <c r="R77" t="str">
        <f t="shared" si="10"/>
        <v>1500</v>
      </c>
      <c r="S77" t="str">
        <f t="shared" si="11"/>
        <v>Medium</v>
      </c>
      <c r="T77" t="str">
        <f t="shared" si="12"/>
        <v>Medium</v>
      </c>
      <c r="U77" t="str">
        <f t="shared" si="13"/>
        <v>Medium</v>
      </c>
    </row>
    <row r="78" spans="1:21" x14ac:dyDescent="0.55000000000000004">
      <c r="K78" s="3"/>
      <c r="M78" t="s">
        <v>116</v>
      </c>
      <c r="N78">
        <v>2500</v>
      </c>
      <c r="O78" t="s">
        <v>124</v>
      </c>
      <c r="P78" t="str">
        <f t="shared" si="8"/>
        <v>Football fish_2500_Medium</v>
      </c>
      <c r="Q78" t="str">
        <f t="shared" si="9"/>
        <v>2500</v>
      </c>
      <c r="R78" t="str">
        <f t="shared" si="10"/>
        <v>2500</v>
      </c>
      <c r="S78" t="str">
        <f t="shared" si="11"/>
        <v>Medium</v>
      </c>
      <c r="T78" t="str">
        <f t="shared" si="12"/>
        <v>Medium</v>
      </c>
      <c r="U78" t="str">
        <f t="shared" si="13"/>
        <v>Medium</v>
      </c>
    </row>
    <row r="79" spans="1:21" x14ac:dyDescent="0.55000000000000004">
      <c r="A79">
        <v>12</v>
      </c>
      <c r="B79" s="2">
        <v>43983</v>
      </c>
      <c r="C79">
        <v>16</v>
      </c>
      <c r="D79">
        <v>4</v>
      </c>
      <c r="E79">
        <v>1</v>
      </c>
      <c r="F79">
        <v>0</v>
      </c>
      <c r="G79" s="1">
        <v>400</v>
      </c>
      <c r="H79" s="1">
        <v>1200</v>
      </c>
      <c r="I79" s="1">
        <v>4000</v>
      </c>
      <c r="J79" s="1">
        <v>12000</v>
      </c>
      <c r="K79" s="3">
        <f t="shared" si="7"/>
        <v>15200</v>
      </c>
      <c r="L79" s="3">
        <f>SUM(K79:K84)</f>
        <v>92400</v>
      </c>
      <c r="M79" t="s">
        <v>117</v>
      </c>
      <c r="N79">
        <v>9000</v>
      </c>
      <c r="O79" t="s">
        <v>123</v>
      </c>
      <c r="P79" t="str">
        <f t="shared" si="8"/>
        <v>Oarfish_9000_High</v>
      </c>
      <c r="Q79" t="str">
        <f t="shared" si="9"/>
        <v>9000</v>
      </c>
      <c r="R79" t="str">
        <f t="shared" si="10"/>
        <v>9000</v>
      </c>
      <c r="S79" t="str">
        <f t="shared" si="11"/>
        <v>High</v>
      </c>
      <c r="T79" t="str">
        <f t="shared" si="12"/>
        <v>High</v>
      </c>
      <c r="U79" t="str">
        <f t="shared" si="13"/>
        <v>High</v>
      </c>
    </row>
    <row r="80" spans="1:21" x14ac:dyDescent="0.55000000000000004">
      <c r="A80">
        <v>12</v>
      </c>
      <c r="B80" s="2">
        <v>43984</v>
      </c>
      <c r="C80">
        <v>15</v>
      </c>
      <c r="D80">
        <v>5</v>
      </c>
      <c r="E80">
        <v>1</v>
      </c>
      <c r="F80">
        <v>0</v>
      </c>
      <c r="G80" s="1">
        <v>400</v>
      </c>
      <c r="H80" s="1">
        <v>1200</v>
      </c>
      <c r="I80" s="1">
        <v>4000</v>
      </c>
      <c r="J80" s="1">
        <v>12000</v>
      </c>
      <c r="K80" s="3">
        <f t="shared" si="7"/>
        <v>16000</v>
      </c>
      <c r="M80" t="s">
        <v>118</v>
      </c>
      <c r="N80">
        <v>15000</v>
      </c>
      <c r="O80" t="s">
        <v>125</v>
      </c>
      <c r="P80" t="str">
        <f t="shared" si="8"/>
        <v>Barreleye_15000_Ultra</v>
      </c>
      <c r="Q80" t="str">
        <f t="shared" si="9"/>
        <v>15000</v>
      </c>
      <c r="R80" t="str">
        <f t="shared" si="10"/>
        <v>15000</v>
      </c>
      <c r="S80" t="str">
        <f t="shared" si="11"/>
        <v>Ultra</v>
      </c>
      <c r="T80" t="str">
        <f t="shared" si="12"/>
        <v>Ultra</v>
      </c>
      <c r="U80" t="str">
        <f t="shared" si="13"/>
        <v>Ultra</v>
      </c>
    </row>
    <row r="81" spans="1:21" x14ac:dyDescent="0.55000000000000004">
      <c r="A81">
        <v>12</v>
      </c>
      <c r="B81" s="2">
        <v>43985</v>
      </c>
      <c r="C81">
        <v>17</v>
      </c>
      <c r="D81">
        <v>3</v>
      </c>
      <c r="E81">
        <v>1</v>
      </c>
      <c r="F81">
        <v>0</v>
      </c>
      <c r="G81" s="1">
        <v>400</v>
      </c>
      <c r="H81" s="1">
        <v>1200</v>
      </c>
      <c r="I81" s="1">
        <v>4000</v>
      </c>
      <c r="J81" s="1">
        <v>12000</v>
      </c>
      <c r="K81" s="3">
        <f t="shared" si="7"/>
        <v>14400</v>
      </c>
      <c r="M81" t="s">
        <v>119</v>
      </c>
      <c r="N81">
        <v>15000</v>
      </c>
      <c r="O81" t="s">
        <v>125</v>
      </c>
      <c r="P81" t="str">
        <f t="shared" si="8"/>
        <v>Coelacanth_15000_Ultra</v>
      </c>
      <c r="Q81" t="str">
        <f t="shared" si="9"/>
        <v>15000</v>
      </c>
      <c r="R81" t="str">
        <f t="shared" si="10"/>
        <v>15000</v>
      </c>
      <c r="S81" t="str">
        <f t="shared" si="11"/>
        <v>Ultra</v>
      </c>
      <c r="T81" t="str">
        <f t="shared" si="12"/>
        <v>Ultra</v>
      </c>
      <c r="U81" t="str">
        <f t="shared" si="13"/>
        <v>Ultra</v>
      </c>
    </row>
    <row r="82" spans="1:21" x14ac:dyDescent="0.55000000000000004">
      <c r="A82">
        <v>12</v>
      </c>
      <c r="B82" s="2">
        <v>43986</v>
      </c>
      <c r="C82">
        <v>16</v>
      </c>
      <c r="D82">
        <v>4</v>
      </c>
      <c r="E82">
        <v>1</v>
      </c>
      <c r="F82">
        <v>0</v>
      </c>
      <c r="G82" s="1">
        <v>400</v>
      </c>
      <c r="H82" s="1">
        <v>1200</v>
      </c>
      <c r="I82" s="1">
        <v>4000</v>
      </c>
      <c r="J82" s="1">
        <v>12000</v>
      </c>
      <c r="K82" s="3">
        <f t="shared" si="7"/>
        <v>15200</v>
      </c>
    </row>
    <row r="83" spans="1:21" x14ac:dyDescent="0.55000000000000004">
      <c r="A83">
        <v>12</v>
      </c>
      <c r="B83" s="2">
        <v>43987</v>
      </c>
      <c r="C83">
        <v>14</v>
      </c>
      <c r="D83">
        <v>6</v>
      </c>
      <c r="E83">
        <v>1</v>
      </c>
      <c r="F83">
        <v>0</v>
      </c>
      <c r="G83" s="1">
        <v>400</v>
      </c>
      <c r="H83" s="1">
        <v>1200</v>
      </c>
      <c r="I83" s="1">
        <v>4000</v>
      </c>
      <c r="J83" s="1">
        <v>12000</v>
      </c>
      <c r="K83" s="3">
        <f t="shared" si="7"/>
        <v>16800</v>
      </c>
    </row>
    <row r="84" spans="1:21" x14ac:dyDescent="0.55000000000000004">
      <c r="A84">
        <v>12</v>
      </c>
      <c r="B84" s="2">
        <v>43988</v>
      </c>
      <c r="C84">
        <v>15</v>
      </c>
      <c r="D84">
        <v>4</v>
      </c>
      <c r="E84">
        <v>1</v>
      </c>
      <c r="F84">
        <v>0</v>
      </c>
      <c r="G84" s="1">
        <v>400</v>
      </c>
      <c r="H84" s="1">
        <v>1200</v>
      </c>
      <c r="I84" s="1">
        <v>4000</v>
      </c>
      <c r="J84" s="1">
        <v>12000</v>
      </c>
      <c r="K84" s="3">
        <f t="shared" si="7"/>
        <v>14800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CD8DE-A659-4366-A617-9810143D84B1}">
  <dimension ref="A1:G13"/>
  <sheetViews>
    <sheetView workbookViewId="0">
      <selection activeCell="E20" sqref="E20"/>
    </sheetView>
  </sheetViews>
  <sheetFormatPr defaultRowHeight="14.4" x14ac:dyDescent="0.55000000000000004"/>
  <cols>
    <col min="2" max="2" width="20.578125" style="1" customWidth="1"/>
    <col min="3" max="3" width="24.3671875" style="1" customWidth="1"/>
    <col min="4" max="4" width="20.3125" customWidth="1"/>
    <col min="5" max="5" width="25.41796875" customWidth="1"/>
  </cols>
  <sheetData>
    <row r="1" spans="1:7" x14ac:dyDescent="0.55000000000000004">
      <c r="A1" t="s">
        <v>1</v>
      </c>
      <c r="B1" s="1" t="s">
        <v>137</v>
      </c>
      <c r="C1" s="1" t="s">
        <v>138</v>
      </c>
      <c r="D1" t="s">
        <v>139</v>
      </c>
      <c r="E1" t="s">
        <v>141</v>
      </c>
    </row>
    <row r="2" spans="1:7" x14ac:dyDescent="0.55000000000000004">
      <c r="A2">
        <v>1</v>
      </c>
      <c r="B2" s="1">
        <f ca="1" xml:space="preserve"> SUMIF(Turnip!A2:A84, A2, Turnip!J2:J79)</f>
        <v>15000</v>
      </c>
      <c r="C2" s="1">
        <f ca="1" xml:space="preserve"> SUMIF(Deep_Sea_Creature!A2:A84, A2, Deep_Sea_Creature!L2:L79) /3</f>
        <v>32133.333333333332</v>
      </c>
      <c r="D2" s="3">
        <f ca="1" xml:space="preserve"> B2 + C2</f>
        <v>47133.333333333328</v>
      </c>
      <c r="G2" t="s">
        <v>140</v>
      </c>
    </row>
    <row r="3" spans="1:7" x14ac:dyDescent="0.55000000000000004">
      <c r="A3">
        <v>2</v>
      </c>
      <c r="B3" s="1">
        <f ca="1" xml:space="preserve"> SUMIF(Turnip!A3:A85, A3, Turnip!J3:J80)</f>
        <v>-4000</v>
      </c>
      <c r="C3" s="1">
        <f ca="1" xml:space="preserve"> SUMIF(Deep_Sea_Creature!A3:A85, A3, Deep_Sea_Creature!L3:L80) /3</f>
        <v>34800</v>
      </c>
      <c r="D3" s="3">
        <f t="shared" ref="D3:D13" ca="1" si="0" xml:space="preserve"> B3 + C3</f>
        <v>30800</v>
      </c>
    </row>
    <row r="4" spans="1:7" x14ac:dyDescent="0.55000000000000004">
      <c r="A4">
        <v>3</v>
      </c>
      <c r="B4" s="1">
        <f ca="1" xml:space="preserve"> SUMIF(Turnip!A4:A86, A4, Turnip!J4:J81)</f>
        <v>143000</v>
      </c>
      <c r="C4" s="1">
        <f ca="1" xml:space="preserve"> SUMIF(Deep_Sea_Creature!A4:A86, A4, Deep_Sea_Creature!L4:L81) /3</f>
        <v>32133.333333333332</v>
      </c>
      <c r="D4" s="3">
        <f t="shared" ca="1" si="0"/>
        <v>175133.33333333334</v>
      </c>
    </row>
    <row r="5" spans="1:7" x14ac:dyDescent="0.55000000000000004">
      <c r="A5">
        <v>4</v>
      </c>
      <c r="B5" s="1">
        <f ca="1" xml:space="preserve"> SUMIF(Turnip!A5:A87, A5, Turnip!J5:J82)</f>
        <v>460000</v>
      </c>
      <c r="C5" s="1">
        <f ca="1" xml:space="preserve"> SUMIF(Deep_Sea_Creature!A5:A87, A5, Deep_Sea_Creature!L5:L82) /3</f>
        <v>32133.333333333332</v>
      </c>
      <c r="D5" s="3">
        <f t="shared" ca="1" si="0"/>
        <v>492133.33333333331</v>
      </c>
    </row>
    <row r="6" spans="1:7" x14ac:dyDescent="0.55000000000000004">
      <c r="A6">
        <v>5</v>
      </c>
      <c r="B6" s="1">
        <f ca="1" xml:space="preserve"> SUMIF(Turnip!A6:A88, A6, Turnip!J6:J83)</f>
        <v>15000</v>
      </c>
      <c r="C6" s="1">
        <f ca="1" xml:space="preserve"> SUMIF(Deep_Sea_Creature!A6:A88, A6, Deep_Sea_Creature!L6:L83) /3</f>
        <v>34800</v>
      </c>
      <c r="D6" s="3">
        <f t="shared" ca="1" si="0"/>
        <v>49800</v>
      </c>
    </row>
    <row r="7" spans="1:7" x14ac:dyDescent="0.55000000000000004">
      <c r="A7">
        <v>6</v>
      </c>
      <c r="B7" s="1">
        <f ca="1" xml:space="preserve"> SUMIF(Turnip!A7:A89, A7, Turnip!J7:J84)</f>
        <v>-5000</v>
      </c>
      <c r="C7" s="1">
        <f ca="1" xml:space="preserve"> SUMIF(Deep_Sea_Creature!A7:A89, A7, Deep_Sea_Creature!L7:L84) /3</f>
        <v>30800</v>
      </c>
      <c r="D7" s="3">
        <f t="shared" ca="1" si="0"/>
        <v>25800</v>
      </c>
    </row>
    <row r="8" spans="1:7" x14ac:dyDescent="0.55000000000000004">
      <c r="A8">
        <v>7</v>
      </c>
      <c r="B8" s="1">
        <f ca="1" xml:space="preserve"> SUMIF(Turnip!A8:A90, A8, Turnip!J8:J85)</f>
        <v>324000</v>
      </c>
      <c r="C8" s="1">
        <f ca="1" xml:space="preserve"> SUMIF(Deep_Sea_Creature!A8:A90, A8, Deep_Sea_Creature!L8:L85) /3</f>
        <v>32133.333333333332</v>
      </c>
      <c r="D8" s="3">
        <f t="shared" ca="1" si="0"/>
        <v>356133.33333333331</v>
      </c>
    </row>
    <row r="9" spans="1:7" x14ac:dyDescent="0.55000000000000004">
      <c r="A9">
        <v>8</v>
      </c>
      <c r="B9" s="1">
        <f ca="1" xml:space="preserve"> SUMIF(Turnip!A9:A91, A9, Turnip!J9:J86)</f>
        <v>2000</v>
      </c>
      <c r="C9" s="1">
        <f ca="1" xml:space="preserve"> SUMIF(Deep_Sea_Creature!A9:A91, A9, Deep_Sea_Creature!L9:L86) /3</f>
        <v>34800</v>
      </c>
      <c r="D9" s="3">
        <f t="shared" ca="1" si="0"/>
        <v>36800</v>
      </c>
    </row>
    <row r="10" spans="1:7" x14ac:dyDescent="0.55000000000000004">
      <c r="A10">
        <v>9</v>
      </c>
      <c r="B10" s="1">
        <f ca="1" xml:space="preserve"> SUMIF(Turnip!A10:A92, A10, Turnip!J10:J87)</f>
        <v>409000</v>
      </c>
      <c r="C10" s="1">
        <f ca="1" xml:space="preserve"> SUMIF(Deep_Sea_Creature!A10:A92, A10, Deep_Sea_Creature!L10:L87) /3</f>
        <v>30800</v>
      </c>
      <c r="D10" s="3">
        <f t="shared" ca="1" si="0"/>
        <v>439800</v>
      </c>
    </row>
    <row r="11" spans="1:7" x14ac:dyDescent="0.55000000000000004">
      <c r="A11">
        <v>10</v>
      </c>
      <c r="B11" s="1">
        <f ca="1" xml:space="preserve"> SUMIF(Turnip!A11:A93, A11, Turnip!J11:J88)</f>
        <v>-4000</v>
      </c>
      <c r="C11" s="1">
        <f ca="1" xml:space="preserve"> SUMIF(Deep_Sea_Creature!A11:A93, A11, Deep_Sea_Creature!L11:L88) /3</f>
        <v>32133.333333333332</v>
      </c>
      <c r="D11" s="3">
        <f t="shared" ca="1" si="0"/>
        <v>28133.333333333332</v>
      </c>
    </row>
    <row r="12" spans="1:7" x14ac:dyDescent="0.55000000000000004">
      <c r="A12">
        <v>11</v>
      </c>
      <c r="B12" s="1">
        <f ca="1" xml:space="preserve"> SUMIF(Turnip!A12:A94, A12, Turnip!J12:J89)</f>
        <v>381000</v>
      </c>
      <c r="C12" s="1">
        <f ca="1" xml:space="preserve"> SUMIF(Deep_Sea_Creature!A12:A94, A12, Deep_Sea_Creature!L12:L89) /3</f>
        <v>34800</v>
      </c>
      <c r="D12" s="3">
        <f t="shared" ca="1" si="0"/>
        <v>415800</v>
      </c>
    </row>
    <row r="13" spans="1:7" x14ac:dyDescent="0.55000000000000004">
      <c r="A13">
        <v>12</v>
      </c>
      <c r="B13" s="1">
        <f ca="1" xml:space="preserve"> SUMIF(Turnip!A13:A95, A13, Turnip!J13:J90)</f>
        <v>-3000</v>
      </c>
      <c r="C13" s="1">
        <f ca="1" xml:space="preserve"> SUMIF(Deep_Sea_Creature!A13:A95, A13, Deep_Sea_Creature!L13:L90) /3</f>
        <v>30800</v>
      </c>
      <c r="D13" s="3">
        <f t="shared" ca="1" si="0"/>
        <v>27800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Turnip</vt:lpstr>
      <vt:lpstr>Deep_Sea_Creature</vt:lpstr>
      <vt:lpstr>Sum_Together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Owen</dc:creator>
  <cp:lastModifiedBy>Tran, Owen</cp:lastModifiedBy>
  <dcterms:created xsi:type="dcterms:W3CDTF">2026-02-17T05:07:48Z</dcterms:created>
  <dcterms:modified xsi:type="dcterms:W3CDTF">2026-02-17T07:56:08Z</dcterms:modified>
</cp:coreProperties>
</file>